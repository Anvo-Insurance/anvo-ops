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issions" sheetId="1" state="visible" r:id="rId3"/>
    <sheet name="Policy Detail" sheetId="2" state="visible" r:id="rId4"/>
    <sheet name="Bonuses" sheetId="3" state="visible" r:id="rId5"/>
    <sheet name="Monthly Summary" sheetId="4" state="visible" r:id="rId6"/>
    <sheet name="Commission by Carrier" sheetId="5" state="visible" r:id="rId7"/>
    <sheet name="ISM Cross-Check" sheetId="6" state="visible" r:id="rId8"/>
    <sheet name="Carriers" sheetId="7" state="visible" r:id="rId9"/>
  </sheets>
  <definedNames>
    <definedName function="false" hidden="true" localSheetId="2" name="_xlnm._FilterDatabase" vbProcedure="false">Bonuses!$A$1:$I$1</definedName>
    <definedName function="false" hidden="true" localSheetId="0" name="_xlnm._FilterDatabase" vbProcedure="false">Commissions!$A$1:$M$34</definedName>
    <definedName function="false" hidden="true" localSheetId="5" name="_xlnm._FilterDatabase" vbProcedure="false">'ISM Cross-Check'!$A$1:$F$10</definedName>
    <definedName function="false" hidden="true" localSheetId="1" name="_xlnm._FilterDatabase" vbProcedure="false">'Policy Detail'!$A$1:$M$36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<sst xmlns="http://schemas.openxmlformats.org/spreadsheetml/2006/main" count="718" uniqueCount="245">
  <si>
    <t xml:space="preserve">Report Month</t>
  </si>
  <si>
    <t xml:space="preserve">Carrier</t>
  </si>
  <si>
    <t xml:space="preserve">LOB</t>
  </si>
  <si>
    <t xml:space="preserve">Premium Volume</t>
  </si>
  <si>
    <t xml:space="preserve">Gross Commission</t>
  </si>
  <si>
    <t xml:space="preserve">Commission Rate</t>
  </si>
  <si>
    <t xml:space="preserve">Network</t>
  </si>
  <si>
    <t xml:space="preserve">Source Type</t>
  </si>
  <si>
    <t xml:space="preserve">Source File</t>
  </si>
  <si>
    <t xml:space="preserve">Parse Status</t>
  </si>
  <si>
    <t xml:space="preserve">Payment Status</t>
  </si>
  <si>
    <t xml:space="preserve">Notes</t>
  </si>
  <si>
    <t xml:space="preserve">Ingestion Date</t>
  </si>
  <si>
    <t xml:space="preserve">2025-12</t>
  </si>
  <si>
    <t xml:space="preserve">MGT Insurance</t>
  </si>
  <si>
    <t xml:space="preserve">C/L</t>
  </si>
  <si>
    <t xml:space="preserve">MGA/Wholesale</t>
  </si>
  <si>
    <t xml:space="preserve">csv</t>
  </si>
  <si>
    <t xml:space="preserve">mgt_payments_12_02_2025.csv</t>
  </si>
  <si>
    <t xml:space="preserve">verified</t>
  </si>
  <si>
    <t xml:space="preserve">received</t>
  </si>
  <si>
    <t xml:space="preserve">2026-01</t>
  </si>
  <si>
    <t xml:space="preserve">Hartford</t>
  </si>
  <si>
    <t xml:space="preserve">SIAA</t>
  </si>
  <si>
    <t xml:space="preserve">pdf</t>
  </si>
  <si>
    <t xml:space="preserve">HF Jan Statement.pdf</t>
  </si>
  <si>
    <t xml:space="preserve">Travelers PI</t>
  </si>
  <si>
    <t xml:space="preserve">P/L</t>
  </si>
  <si>
    <t xml:space="preserve">TRV PI Commission Statement.pdf</t>
  </si>
  <si>
    <t xml:space="preserve">Travelers BI</t>
  </si>
  <si>
    <t xml:space="preserve">TRV Bond and BI Statement.pdf</t>
  </si>
  <si>
    <t xml:space="preserve">Guard</t>
  </si>
  <si>
    <t xml:space="preserve">Guard COMM STMT 1-2026.pdf</t>
  </si>
  <si>
    <t xml:space="preserve">BOP $1,945.94 / WC -$62.52</t>
  </si>
  <si>
    <t xml:space="preserve">Progressive</t>
  </si>
  <si>
    <t xml:space="preserve">Progressive Summary Report.pdf</t>
  </si>
  <si>
    <t xml:space="preserve">Nationwide</t>
  </si>
  <si>
    <t xml:space="preserve">NW Monthly Commission Statement.pdf</t>
  </si>
  <si>
    <t xml:space="preserve">Markel</t>
  </si>
  <si>
    <t xml:space="preserve">Markel Jan 2026.pdf</t>
  </si>
  <si>
    <t xml:space="preserve">Net negative</t>
  </si>
  <si>
    <t xml:space="preserve">State Auto</t>
  </si>
  <si>
    <t xml:space="preserve">State Auto Jan Statement.pdf</t>
  </si>
  <si>
    <t xml:space="preserve">American Modern</t>
  </si>
  <si>
    <t xml:space="preserve">From ISM Remittance</t>
  </si>
  <si>
    <t xml:space="preserve">mgt_payments_01_05_2026.csv</t>
  </si>
  <si>
    <t xml:space="preserve">2026-02</t>
  </si>
  <si>
    <t xml:space="preserve">Hartford Feb Commission Statement.pdf</t>
  </si>
  <si>
    <t xml:space="preserve">TRV PI Statement Feb.pdf</t>
  </si>
  <si>
    <t xml:space="preserve">TRV Bond and BI Statement Feb.pdf</t>
  </si>
  <si>
    <t xml:space="preserve">Guard COMM STMT 2-2026.pdf</t>
  </si>
  <si>
    <t xml:space="preserve">PR Summary Report.pdf</t>
  </si>
  <si>
    <t xml:space="preserve">NW Statement Feb.pdf</t>
  </si>
  <si>
    <t xml:space="preserve">Markel Feb Statement.pdf</t>
  </si>
  <si>
    <t xml:space="preserve">Risk Placement Services</t>
  </si>
  <si>
    <t xml:space="preserve">mgt_payments_02_03_2026.csv</t>
  </si>
  <si>
    <t xml:space="preserve">2026-03</t>
  </si>
  <si>
    <t xml:space="preserve">xlsx</t>
  </si>
  <si>
    <t xml:space="preserve">TRV PI Statement 2026-03-23.xlsx</t>
  </si>
  <si>
    <t xml:space="preserve">Premium not broken out</t>
  </si>
  <si>
    <t xml:space="preserve">TRV Bond and BI Statement 2026-03-23.xlsx</t>
  </si>
  <si>
    <t xml:space="preserve">Progressive - March.xlsx</t>
  </si>
  <si>
    <t xml:space="preserve">Auto only</t>
  </si>
  <si>
    <t xml:space="preserve">Commercial Vehicle</t>
  </si>
  <si>
    <t xml:space="preserve">Nationwide.xlsx</t>
  </si>
  <si>
    <t xml:space="preserve">The Hartford.csv</t>
  </si>
  <si>
    <t xml:space="preserve">1 policy: Sky Technology</t>
  </si>
  <si>
    <t xml:space="preserve">Guard.pdf</t>
  </si>
  <si>
    <t xml:space="preserve">BOP $500.02 / WC $139.80</t>
  </si>
  <si>
    <t xml:space="preserve">Markel.pdf</t>
  </si>
  <si>
    <t xml:space="preserve">1 WC policy</t>
  </si>
  <si>
    <t xml:space="preserve">Steadily</t>
  </si>
  <si>
    <t xml:space="preserve">Direct</t>
  </si>
  <si>
    <t xml:space="preserve">Steadily.xlsx</t>
  </si>
  <si>
    <t xml:space="preserve">3 policies, 15% rate</t>
  </si>
  <si>
    <t xml:space="preserve">mgt_payments_03_03_2026.csv</t>
  </si>
  <si>
    <t xml:space="preserve">Cochrane</t>
  </si>
  <si>
    <t xml:space="preserve">heng feng.xlsx</t>
  </si>
  <si>
    <t xml:space="preserve">accrued</t>
  </si>
  <si>
    <t xml:space="preserve">Heng Feng Food Svc. AR - won't pay until renewal</t>
  </si>
  <si>
    <t xml:space="preserve">2026-04</t>
  </si>
  <si>
    <t xml:space="preserve">mgt_payments_04_02_2026.csv</t>
  </si>
  <si>
    <t xml:space="preserve">Insured Name</t>
  </si>
  <si>
    <t xml:space="preserve">Policy Number</t>
  </si>
  <si>
    <t xml:space="preserve">Transaction Type</t>
  </si>
  <si>
    <t xml:space="preserve">Effective Date</t>
  </si>
  <si>
    <t xml:space="preserve">Premium</t>
  </si>
  <si>
    <t xml:space="preserve">Commission Amount</t>
  </si>
  <si>
    <t xml:space="preserve">Producer</t>
  </si>
  <si>
    <t xml:space="preserve">BLUE STAR</t>
  </si>
  <si>
    <t xml:space="preserve">8S742111 BIP</t>
  </si>
  <si>
    <t xml:space="preserve">Final Audit</t>
  </si>
  <si>
    <t xml:space="preserve">10/25/2024</t>
  </si>
  <si>
    <t xml:space="preserve">TRV BI 2026-03-23.xlsx</t>
  </si>
  <si>
    <t xml:space="preserve">CHINA STAR</t>
  </si>
  <si>
    <t xml:space="preserve">0S400257 BIP</t>
  </si>
  <si>
    <t xml:space="preserve">Renewal</t>
  </si>
  <si>
    <t xml:space="preserve">03/22/2026</t>
  </si>
  <si>
    <t xml:space="preserve">HUNAN GARDEN DBA Y J</t>
  </si>
  <si>
    <t xml:space="preserve">2J268057 UB</t>
  </si>
  <si>
    <t xml:space="preserve">03/01/2026</t>
  </si>
  <si>
    <t xml:space="preserve">LIN XIN RU</t>
  </si>
  <si>
    <t xml:space="preserve">7P16602A 680</t>
  </si>
  <si>
    <t xml:space="preserve">03/02/2026</t>
  </si>
  <si>
    <t xml:space="preserve">PAIN &amp; WELLNESS CLIN</t>
  </si>
  <si>
    <t xml:space="preserve">3K554970 UB</t>
  </si>
  <si>
    <t xml:space="preserve">02/27/2026</t>
  </si>
  <si>
    <t xml:space="preserve">RICE HOUSE XIAOBO LLC</t>
  </si>
  <si>
    <t xml:space="preserve">B2010679 BIP</t>
  </si>
  <si>
    <t xml:space="preserve">04/03/2026</t>
  </si>
  <si>
    <t xml:space="preserve">YUMMI CRAB INC</t>
  </si>
  <si>
    <t xml:space="preserve">0S466719 UB</t>
  </si>
  <si>
    <t xml:space="preserve">02/25/2026</t>
  </si>
  <si>
    <t xml:space="preserve">WEI Y.</t>
  </si>
  <si>
    <t xml:space="preserve">864043975</t>
  </si>
  <si>
    <t xml:space="preserve">04/07/2026</t>
  </si>
  <si>
    <t xml:space="preserve">Yalu Pao</t>
  </si>
  <si>
    <t xml:space="preserve">KBF DEPOT I</t>
  </si>
  <si>
    <t xml:space="preserve">870357703</t>
  </si>
  <si>
    <t xml:space="preserve">Endorsement</t>
  </si>
  <si>
    <t xml:space="preserve">Edward Hsyeh</t>
  </si>
  <si>
    <t xml:space="preserve">TANG L.</t>
  </si>
  <si>
    <t xml:space="preserve">963212135</t>
  </si>
  <si>
    <t xml:space="preserve">Credit Endorsement</t>
  </si>
  <si>
    <t xml:space="preserve">03/18/2026</t>
  </si>
  <si>
    <t xml:space="preserve">LU F.</t>
  </si>
  <si>
    <t xml:space="preserve">974777650</t>
  </si>
  <si>
    <t xml:space="preserve">YAO X.</t>
  </si>
  <si>
    <t xml:space="preserve">994505184</t>
  </si>
  <si>
    <t xml:space="preserve">03/20/2026</t>
  </si>
  <si>
    <t xml:space="preserve">LUU V.</t>
  </si>
  <si>
    <t xml:space="preserve">995082150</t>
  </si>
  <si>
    <t xml:space="preserve">03/25/2026</t>
  </si>
  <si>
    <t xml:space="preserve">GAO Y.</t>
  </si>
  <si>
    <t xml:space="preserve">996355322</t>
  </si>
  <si>
    <t xml:space="preserve">SKY TECHNOLOGY LLC</t>
  </si>
  <si>
    <t xml:space="preserve">37 SBA AJ4MFC</t>
  </si>
  <si>
    <t xml:space="preserve">11/17/2024</t>
  </si>
  <si>
    <t xml:space="preserve">China Oasis Inc</t>
  </si>
  <si>
    <t xml:space="preserve">CHBP708273</t>
  </si>
  <si>
    <t xml:space="preserve">03/05/2026</t>
  </si>
  <si>
    <t xml:space="preserve">BOP</t>
  </si>
  <si>
    <t xml:space="preserve">China 1 Buffet Lin Inc</t>
  </si>
  <si>
    <t xml:space="preserve">CHBP764513</t>
  </si>
  <si>
    <t xml:space="preserve">01/18/2026</t>
  </si>
  <si>
    <t xml:space="preserve">CHWC711672</t>
  </si>
  <si>
    <t xml:space="preserve">WC</t>
  </si>
  <si>
    <t xml:space="preserve">HMEI LIFE INC</t>
  </si>
  <si>
    <t xml:space="preserve">HMWC657078</t>
  </si>
  <si>
    <t xml:space="preserve">11/01/2025</t>
  </si>
  <si>
    <t xml:space="preserve">WJ CONSTRUCTION LLC</t>
  </si>
  <si>
    <t xml:space="preserve">AWC0017692-02</t>
  </si>
  <si>
    <t xml:space="preserve">10/20/2024</t>
  </si>
  <si>
    <t xml:space="preserve">Jinfu Liang</t>
  </si>
  <si>
    <t xml:space="preserve">SP3-MO-30919323-00</t>
  </si>
  <si>
    <t xml:space="preserve">New Business</t>
  </si>
  <si>
    <t xml:space="preserve">YiSui Wu</t>
  </si>
  <si>
    <t xml:space="preserve">SP3-MO-34942514-00</t>
  </si>
  <si>
    <t xml:space="preserve">Bing Liang</t>
  </si>
  <si>
    <t xml:space="preserve">SP3-MO-39584217-00</t>
  </si>
  <si>
    <t xml:space="preserve">03/21/2026</t>
  </si>
  <si>
    <t xml:space="preserve">Asian Buffet</t>
  </si>
  <si>
    <t xml:space="preserve">01KAVXNK75</t>
  </si>
  <si>
    <t xml:space="preserve">mgt_12_2025.csv</t>
  </si>
  <si>
    <t xml:space="preserve">Pine &amp; Bamboo Garden</t>
  </si>
  <si>
    <t xml:space="preserve">01K8VNKWY4</t>
  </si>
  <si>
    <t xml:space="preserve">mgt_01_2026.csv</t>
  </si>
  <si>
    <t xml:space="preserve">Tokyo Tuo Inc</t>
  </si>
  <si>
    <t xml:space="preserve">01KAVCZJD6</t>
  </si>
  <si>
    <t xml:space="preserve">Young Xing LLC</t>
  </si>
  <si>
    <t xml:space="preserve">01KB0JCHGF</t>
  </si>
  <si>
    <t xml:space="preserve">China One Buffet</t>
  </si>
  <si>
    <t xml:space="preserve">01KBDMTK56</t>
  </si>
  <si>
    <t xml:space="preserve">mgt_02_2026.csv</t>
  </si>
  <si>
    <t xml:space="preserve">mgt_03_2026.csv</t>
  </si>
  <si>
    <t xml:space="preserve">mgt_04_2026.csv</t>
  </si>
  <si>
    <t xml:space="preserve">Installment 3</t>
  </si>
  <si>
    <t xml:space="preserve">Bonus Month</t>
  </si>
  <si>
    <t xml:space="preserve">Source</t>
  </si>
  <si>
    <t xml:space="preserve">Bonus Type</t>
  </si>
  <si>
    <t xml:space="preserve">Amount</t>
  </si>
  <si>
    <t xml:space="preserve">Description</t>
  </si>
  <si>
    <t xml:space="preserve">Email Date</t>
  </si>
  <si>
    <t xml:space="preserve">Month</t>
  </si>
  <si>
    <t xml:space="preserve">Total Premium</t>
  </si>
  <si>
    <t xml:space="preserve">Total Commission</t>
  </si>
  <si>
    <t xml:space="preserve">Effective Rate</t>
  </si>
  <si>
    <t xml:space="preserve">P/L Commission</t>
  </si>
  <si>
    <t xml:space="preserve">C/L Commission</t>
  </si>
  <si>
    <t xml:space="preserve">SIAA Commission</t>
  </si>
  <si>
    <t xml:space="preserve">Direct Commission</t>
  </si>
  <si>
    <t xml:space="preserve">MGA/Wholesale Commission</t>
  </si>
  <si>
    <t xml:space="preserve">Accrued Commission</t>
  </si>
  <si>
    <t xml:space="preserve">Received Commission</t>
  </si>
  <si>
    <t xml:space="preserve">Total Bonuses</t>
  </si>
  <si>
    <t xml:space="preserve">Total Income (Received)</t>
  </si>
  <si>
    <t xml:space="preserve">ISM Fee</t>
  </si>
  <si>
    <t xml:space="preserve">Net Income</t>
  </si>
  <si>
    <t xml:space="preserve">MoM Change</t>
  </si>
  <si>
    <t xml:space="preserve">YoY Change</t>
  </si>
  <si>
    <t xml:space="preserve">Carriers Reporting</t>
  </si>
  <si>
    <t xml:space="preserve">Carriers Pending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</si>
  <si>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</si>
  <si>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</si>
  <si>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</si>
  <si>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</si>
  <si>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</si>
  <si>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</si>
  <si>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</si>
  <si>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</si>
  <si>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Total</t>
  </si>
  <si>
    <t xml:space="preserve">TOTAL</t>
  </si>
  <si>
    <t xml:space="preserve">ISM Commission</t>
  </si>
  <si>
    <t xml:space="preserve">Statement Commission</t>
  </si>
  <si>
    <t xml:space="preserve">Variance</t>
  </si>
  <si>
    <t xml:space="preserve">Status</t>
  </si>
  <si>
    <t xml:space="preserve">Carrier Name</t>
  </si>
  <si>
    <t xml:space="preserve">Aliases</t>
  </si>
  <si>
    <t xml:space="preserve">Statement Format</t>
  </si>
  <si>
    <t xml:space="preserve">Typical LOB</t>
  </si>
  <si>
    <t xml:space="preserve">Active</t>
  </si>
  <si>
    <t xml:space="preserve">AMIG, American Modern Insurance</t>
  </si>
  <si>
    <t xml:space="preserve">Cochrane &amp; Company, Cochrane Co</t>
  </si>
  <si>
    <t xml:space="preserve">Accrued - AR until renewal. Contact: dellis@cochraneco.com</t>
  </si>
  <si>
    <t xml:space="preserve">BH Guard, Berkshire Hathaway Guard</t>
  </si>
  <si>
    <t xml:space="preserve">Agency code: NEMIAA50</t>
  </si>
  <si>
    <t xml:space="preserve">The Hartford, HF</t>
  </si>
  <si>
    <t xml:space="preserve">Producer: 277214. CSV starting Mar 2026.</t>
  </si>
  <si>
    <t xml:space="preserve">Markel Corporation, Markel Insurance</t>
  </si>
  <si>
    <t xml:space="preserve">Agency: F954006. Primarily WC.</t>
  </si>
  <si>
    <t xml:space="preserve">MGT, Ascend, baos_insurance_llc_non_policy</t>
  </si>
  <si>
    <t xml:space="preserve">Via Ascend platform. payables@useascend.com</t>
  </si>
  <si>
    <t xml:space="preserve">NW, Nationwide Mutual</t>
  </si>
  <si>
    <t xml:space="preserve">Agency: 00063968. Excel starting Mar 2026.</t>
  </si>
  <si>
    <t xml:space="preserve">PR, Progressive Casualty</t>
  </si>
  <si>
    <t xml:space="preserve">Both</t>
  </si>
  <si>
    <t xml:space="preserve">Auto (P/L) + Comm Vehicle (C/L). Excel starting Mar 2026.</t>
  </si>
  <si>
    <t xml:space="preserve">RPS, Risk Placement</t>
  </si>
  <si>
    <t xml:space="preserve">State Auto Insurance, State Automobile Mutual</t>
  </si>
  <si>
    <t xml:space="preserve">Agency: 6250</t>
  </si>
  <si>
    <t xml:space="preserve">Steadily Insurance</t>
  </si>
  <si>
    <t xml:space="preserve">Landlord/property. 15% rate. New Mar 2026.</t>
  </si>
  <si>
    <t xml:space="preserve">TRV Bond, TRV BI, Travelers Bond and BI</t>
  </si>
  <si>
    <t xml:space="preserve">Agent: 0CSN99. Excel starting Mar 2026.</t>
  </si>
  <si>
    <t xml:space="preserve">TRV PI, Travelers Personal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</si>
</sst>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30"/>
    <col collapsed="false" customWidth="true" hidden="false" outlineLevel="0" max="13" min="13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3" t="n">
        <v>738.69</v>
      </c>
      <c r="E2" s="3" t="n">
        <v>738.69</v>
      </c>
      <c r="F2" s="4" t="n">
        <f aca="false">IF(D2&lt;&gt;0,E2/D2,"")</f>
        <v>1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/>
      <c r="M2" s="2"/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15</v>
      </c>
      <c r="D3" s="3" t="n">
        <v>18814</v>
      </c>
      <c r="E3" s="3" t="n">
        <v>2601.98</v>
      </c>
      <c r="F3" s="4" t="n">
        <f aca="false">IF(D3&lt;&gt;0,E3/D3,"")</f>
        <v>0.138300201977251</v>
      </c>
      <c r="G3" s="2" t="s">
        <v>23</v>
      </c>
      <c r="H3" s="2" t="s">
        <v>24</v>
      </c>
      <c r="I3" s="2" t="s">
        <v>25</v>
      </c>
      <c r="J3" s="2" t="s">
        <v>19</v>
      </c>
      <c r="K3" s="2" t="s">
        <v>20</v>
      </c>
      <c r="L3" s="2"/>
      <c r="M3" s="2"/>
    </row>
    <row r="4" customFormat="false" ht="15" hidden="false" customHeight="false" outlineLevel="0" collapsed="false">
      <c r="A4" s="2" t="s">
        <v>21</v>
      </c>
      <c r="B4" s="2" t="s">
        <v>26</v>
      </c>
      <c r="C4" s="2" t="s">
        <v>27</v>
      </c>
      <c r="D4" s="3" t="n">
        <v>44307.74</v>
      </c>
      <c r="E4" s="3" t="n">
        <v>5611.83</v>
      </c>
      <c r="F4" s="4" t="n">
        <f aca="false">IF(D4&lt;&gt;0,E4/D4,"")</f>
        <v>0.126655749085826</v>
      </c>
      <c r="G4" s="2" t="s">
        <v>23</v>
      </c>
      <c r="H4" s="2" t="s">
        <v>24</v>
      </c>
      <c r="I4" s="2" t="s">
        <v>28</v>
      </c>
      <c r="J4" s="2" t="s">
        <v>19</v>
      </c>
      <c r="K4" s="2" t="s">
        <v>20</v>
      </c>
      <c r="L4" s="2"/>
      <c r="M4" s="2"/>
    </row>
    <row r="5" customFormat="false" ht="15" hidden="false" customHeight="false" outlineLevel="0" collapsed="false">
      <c r="A5" s="2" t="s">
        <v>21</v>
      </c>
      <c r="B5" s="2" t="s">
        <v>29</v>
      </c>
      <c r="C5" s="2" t="s">
        <v>15</v>
      </c>
      <c r="D5" s="3" t="n">
        <v>5012</v>
      </c>
      <c r="E5" s="3" t="n">
        <v>629.03</v>
      </c>
      <c r="F5" s="4" t="n">
        <f aca="false">IF(D5&lt;&gt;0,E5/D5,"")</f>
        <v>0.125504788507582</v>
      </c>
      <c r="G5" s="2" t="s">
        <v>23</v>
      </c>
      <c r="H5" s="2" t="s">
        <v>24</v>
      </c>
      <c r="I5" s="2" t="s">
        <v>30</v>
      </c>
      <c r="J5" s="2" t="s">
        <v>19</v>
      </c>
      <c r="K5" s="2" t="s">
        <v>20</v>
      </c>
      <c r="L5" s="2"/>
      <c r="M5" s="2"/>
    </row>
    <row r="6" customFormat="false" ht="15" hidden="false" customHeight="false" outlineLevel="0" collapsed="false">
      <c r="A6" s="2" t="s">
        <v>21</v>
      </c>
      <c r="B6" s="2" t="s">
        <v>31</v>
      </c>
      <c r="C6" s="2" t="s">
        <v>15</v>
      </c>
      <c r="D6" s="3" t="n">
        <v>0</v>
      </c>
      <c r="E6" s="3" t="n">
        <v>1883.42</v>
      </c>
      <c r="F6" s="2"/>
      <c r="G6" s="2" t="s">
        <v>23</v>
      </c>
      <c r="H6" s="2" t="s">
        <v>24</v>
      </c>
      <c r="I6" s="2" t="s">
        <v>32</v>
      </c>
      <c r="J6" s="2" t="s">
        <v>19</v>
      </c>
      <c r="K6" s="2" t="s">
        <v>20</v>
      </c>
      <c r="L6" s="2" t="s">
        <v>33</v>
      </c>
      <c r="M6" s="2"/>
    </row>
    <row r="7" customFormat="false" ht="15" hidden="false" customHeight="false" outlineLevel="0" collapsed="false">
      <c r="A7" s="2" t="s">
        <v>21</v>
      </c>
      <c r="B7" s="2" t="s">
        <v>34</v>
      </c>
      <c r="C7" s="2" t="s">
        <v>27</v>
      </c>
      <c r="D7" s="3" t="n">
        <v>9902.72</v>
      </c>
      <c r="E7" s="3" t="n">
        <v>843.15</v>
      </c>
      <c r="F7" s="4" t="n">
        <f aca="false">IF(D7&lt;&gt;0,E7/D7,"")</f>
        <v>0.0851432737672074</v>
      </c>
      <c r="G7" s="2" t="s">
        <v>23</v>
      </c>
      <c r="H7" s="2" t="s">
        <v>24</v>
      </c>
      <c r="I7" s="2" t="s">
        <v>35</v>
      </c>
      <c r="J7" s="2" t="s">
        <v>19</v>
      </c>
      <c r="K7" s="2" t="s">
        <v>20</v>
      </c>
      <c r="L7" s="2"/>
      <c r="M7" s="2"/>
    </row>
    <row r="8" customFormat="false" ht="15" hidden="false" customHeight="false" outlineLevel="0" collapsed="false">
      <c r="A8" s="2" t="s">
        <v>21</v>
      </c>
      <c r="B8" s="2" t="s">
        <v>36</v>
      </c>
      <c r="C8" s="2" t="s">
        <v>27</v>
      </c>
      <c r="D8" s="3" t="n">
        <v>653.9</v>
      </c>
      <c r="E8" s="3" t="n">
        <v>78.48</v>
      </c>
      <c r="F8" s="4" t="n">
        <f aca="false">IF(D8&lt;&gt;0,E8/D8,"")</f>
        <v>0.120018351429882</v>
      </c>
      <c r="G8" s="2" t="s">
        <v>23</v>
      </c>
      <c r="H8" s="2" t="s">
        <v>24</v>
      </c>
      <c r="I8" s="2" t="s">
        <v>37</v>
      </c>
      <c r="J8" s="2" t="s">
        <v>19</v>
      </c>
      <c r="K8" s="2" t="s">
        <v>20</v>
      </c>
      <c r="L8" s="2"/>
      <c r="M8" s="2"/>
    </row>
    <row r="9" customFormat="false" ht="15" hidden="false" customHeight="false" outlineLevel="0" collapsed="false">
      <c r="A9" s="2" t="s">
        <v>21</v>
      </c>
      <c r="B9" s="2" t="s">
        <v>38</v>
      </c>
      <c r="C9" s="2" t="s">
        <v>15</v>
      </c>
      <c r="D9" s="3" t="n">
        <v>-225.62</v>
      </c>
      <c r="E9" s="3" t="n">
        <v>-22.56</v>
      </c>
      <c r="F9" s="4" t="n">
        <f aca="false">IF(D9&lt;&gt;0,E9/D9,"")</f>
        <v>0.0999911355376296</v>
      </c>
      <c r="G9" s="2" t="s">
        <v>23</v>
      </c>
      <c r="H9" s="2" t="s">
        <v>24</v>
      </c>
      <c r="I9" s="2" t="s">
        <v>39</v>
      </c>
      <c r="J9" s="2" t="s">
        <v>19</v>
      </c>
      <c r="K9" s="2" t="s">
        <v>20</v>
      </c>
      <c r="L9" s="2" t="s">
        <v>40</v>
      </c>
      <c r="M9" s="2"/>
    </row>
    <row r="10" customFormat="false" ht="15" hidden="false" customHeight="false" outlineLevel="0" collapsed="false">
      <c r="A10" s="2" t="s">
        <v>21</v>
      </c>
      <c r="B10" s="2" t="s">
        <v>41</v>
      </c>
      <c r="C10" s="2" t="s">
        <v>15</v>
      </c>
      <c r="D10" s="3" t="n">
        <v>8089</v>
      </c>
      <c r="E10" s="3" t="n">
        <v>1213.35</v>
      </c>
      <c r="F10" s="4" t="n">
        <f aca="false">IF(D10&lt;&gt;0,E10/D10,"")</f>
        <v>0.15</v>
      </c>
      <c r="G10" s="2" t="s">
        <v>23</v>
      </c>
      <c r="H10" s="2" t="s">
        <v>24</v>
      </c>
      <c r="I10" s="2" t="s">
        <v>42</v>
      </c>
      <c r="J10" s="2" t="s">
        <v>19</v>
      </c>
      <c r="K10" s="2" t="s">
        <v>20</v>
      </c>
      <c r="L10" s="2"/>
      <c r="M10" s="2"/>
    </row>
    <row r="11" customFormat="false" ht="15" hidden="false" customHeight="false" outlineLevel="0" collapsed="false">
      <c r="A11" s="2" t="s">
        <v>21</v>
      </c>
      <c r="B11" s="2" t="s">
        <v>43</v>
      </c>
      <c r="C11" s="2" t="s">
        <v>27</v>
      </c>
      <c r="D11" s="3" t="n">
        <v>8780</v>
      </c>
      <c r="E11" s="3" t="n">
        <v>965.68</v>
      </c>
      <c r="F11" s="4" t="n">
        <f aca="false">IF(D11&lt;&gt;0,E11/D11,"")</f>
        <v>0.109986332574032</v>
      </c>
      <c r="G11" s="2" t="s">
        <v>23</v>
      </c>
      <c r="H11" s="2" t="s">
        <v>24</v>
      </c>
      <c r="I11" s="2"/>
      <c r="J11" s="2" t="s">
        <v>19</v>
      </c>
      <c r="K11" s="2" t="s">
        <v>20</v>
      </c>
      <c r="L11" s="2" t="s">
        <v>44</v>
      </c>
      <c r="M11" s="2"/>
    </row>
    <row r="12" customFormat="false" ht="15" hidden="false" customHeight="false" outlineLevel="0" collapsed="false">
      <c r="A12" s="2" t="s">
        <v>21</v>
      </c>
      <c r="B12" s="2" t="s">
        <v>14</v>
      </c>
      <c r="C12" s="2" t="s">
        <v>15</v>
      </c>
      <c r="D12" s="3" t="n">
        <v>673.75</v>
      </c>
      <c r="E12" s="3" t="n">
        <v>673.75</v>
      </c>
      <c r="F12" s="4" t="n">
        <f aca="false">IF(D12&lt;&gt;0,E12/D12,"")</f>
        <v>1</v>
      </c>
      <c r="G12" s="2" t="s">
        <v>16</v>
      </c>
      <c r="H12" s="2" t="s">
        <v>17</v>
      </c>
      <c r="I12" s="2" t="s">
        <v>45</v>
      </c>
      <c r="J12" s="2" t="s">
        <v>19</v>
      </c>
      <c r="K12" s="2" t="s">
        <v>20</v>
      </c>
      <c r="L12" s="2"/>
      <c r="M12" s="2"/>
    </row>
    <row r="13" customFormat="false" ht="15" hidden="false" customHeight="false" outlineLevel="0" collapsed="false">
      <c r="A13" s="2" t="s">
        <v>46</v>
      </c>
      <c r="B13" s="2" t="s">
        <v>22</v>
      </c>
      <c r="C13" s="2" t="s">
        <v>15</v>
      </c>
      <c r="D13" s="3" t="n">
        <v>1681</v>
      </c>
      <c r="E13" s="3" t="n">
        <v>235.34</v>
      </c>
      <c r="F13" s="4" t="n">
        <f aca="false">IF(D13&lt;&gt;0,E13/D13,"")</f>
        <v>0.14</v>
      </c>
      <c r="G13" s="2" t="s">
        <v>23</v>
      </c>
      <c r="H13" s="2" t="s">
        <v>24</v>
      </c>
      <c r="I13" s="2" t="s">
        <v>47</v>
      </c>
      <c r="J13" s="2" t="s">
        <v>19</v>
      </c>
      <c r="K13" s="2" t="s">
        <v>20</v>
      </c>
      <c r="L13" s="2"/>
      <c r="M13" s="2"/>
    </row>
    <row r="14" customFormat="false" ht="15" hidden="false" customHeight="false" outlineLevel="0" collapsed="false">
      <c r="A14" s="2" t="s">
        <v>46</v>
      </c>
      <c r="B14" s="2" t="s">
        <v>26</v>
      </c>
      <c r="C14" s="2" t="s">
        <v>27</v>
      </c>
      <c r="D14" s="3" t="n">
        <v>11584</v>
      </c>
      <c r="E14" s="3" t="n">
        <v>1528.04</v>
      </c>
      <c r="F14" s="4" t="n">
        <f aca="false">IF(D14&lt;&gt;0,E14/D14,"")</f>
        <v>0.13190953038674</v>
      </c>
      <c r="G14" s="2" t="s">
        <v>23</v>
      </c>
      <c r="H14" s="2" t="s">
        <v>24</v>
      </c>
      <c r="I14" s="2" t="s">
        <v>48</v>
      </c>
      <c r="J14" s="2" t="s">
        <v>19</v>
      </c>
      <c r="K14" s="2" t="s">
        <v>20</v>
      </c>
      <c r="L14" s="2"/>
      <c r="M14" s="2"/>
    </row>
    <row r="15" customFormat="false" ht="15" hidden="false" customHeight="false" outlineLevel="0" collapsed="false">
      <c r="A15" s="2" t="s">
        <v>46</v>
      </c>
      <c r="B15" s="2" t="s">
        <v>29</v>
      </c>
      <c r="C15" s="2" t="s">
        <v>15</v>
      </c>
      <c r="D15" s="3" t="n">
        <v>33925</v>
      </c>
      <c r="E15" s="3" t="n">
        <v>3324.87</v>
      </c>
      <c r="F15" s="4" t="n">
        <f aca="false">IF(D15&lt;&gt;0,E15/D15,"")</f>
        <v>0.0980064848931466</v>
      </c>
      <c r="G15" s="2" t="s">
        <v>23</v>
      </c>
      <c r="H15" s="2" t="s">
        <v>24</v>
      </c>
      <c r="I15" s="2" t="s">
        <v>49</v>
      </c>
      <c r="J15" s="2" t="s">
        <v>19</v>
      </c>
      <c r="K15" s="2" t="s">
        <v>20</v>
      </c>
      <c r="L15" s="2"/>
      <c r="M15" s="2"/>
    </row>
    <row r="16" customFormat="false" ht="15" hidden="false" customHeight="false" outlineLevel="0" collapsed="false">
      <c r="A16" s="2" t="s">
        <v>46</v>
      </c>
      <c r="B16" s="2" t="s">
        <v>31</v>
      </c>
      <c r="C16" s="2" t="s">
        <v>15</v>
      </c>
      <c r="D16" s="3" t="n">
        <v>23</v>
      </c>
      <c r="E16" s="3" t="n">
        <v>2.76</v>
      </c>
      <c r="F16" s="4" t="n">
        <f aca="false">IF(D16&lt;&gt;0,E16/D16,"")</f>
        <v>0.12</v>
      </c>
      <c r="G16" s="2" t="s">
        <v>23</v>
      </c>
      <c r="H16" s="2" t="s">
        <v>24</v>
      </c>
      <c r="I16" s="2" t="s">
        <v>50</v>
      </c>
      <c r="J16" s="2" t="s">
        <v>19</v>
      </c>
      <c r="K16" s="2" t="s">
        <v>20</v>
      </c>
      <c r="L16" s="2"/>
      <c r="M16" s="2"/>
    </row>
    <row r="17" customFormat="false" ht="15" hidden="false" customHeight="false" outlineLevel="0" collapsed="false">
      <c r="A17" s="2" t="s">
        <v>46</v>
      </c>
      <c r="B17" s="2" t="s">
        <v>34</v>
      </c>
      <c r="C17" s="2" t="s">
        <v>27</v>
      </c>
      <c r="D17" s="3" t="n">
        <v>14260.35</v>
      </c>
      <c r="E17" s="3" t="n">
        <v>1234.54</v>
      </c>
      <c r="F17" s="4" t="n">
        <f aca="false">IF(D17&lt;&gt;0,E17/D17,"")</f>
        <v>0.0865715077119426</v>
      </c>
      <c r="G17" s="2" t="s">
        <v>23</v>
      </c>
      <c r="H17" s="2" t="s">
        <v>24</v>
      </c>
      <c r="I17" s="2" t="s">
        <v>51</v>
      </c>
      <c r="J17" s="2" t="s">
        <v>19</v>
      </c>
      <c r="K17" s="2" t="s">
        <v>20</v>
      </c>
      <c r="L17" s="2"/>
      <c r="M17" s="2"/>
    </row>
    <row r="18" customFormat="false" ht="15" hidden="false" customHeight="false" outlineLevel="0" collapsed="false">
      <c r="A18" s="2" t="s">
        <v>46</v>
      </c>
      <c r="B18" s="2" t="s">
        <v>36</v>
      </c>
      <c r="C18" s="2" t="s">
        <v>27</v>
      </c>
      <c r="D18" s="3" t="n">
        <v>1637.53</v>
      </c>
      <c r="E18" s="3" t="n">
        <v>196.51</v>
      </c>
      <c r="F18" s="4" t="n">
        <f aca="false">IF(D18&lt;&gt;0,E18/D18,"")</f>
        <v>0.120003908325344</v>
      </c>
      <c r="G18" s="2" t="s">
        <v>23</v>
      </c>
      <c r="H18" s="2" t="s">
        <v>24</v>
      </c>
      <c r="I18" s="2" t="s">
        <v>52</v>
      </c>
      <c r="J18" s="2" t="s">
        <v>19</v>
      </c>
      <c r="K18" s="2" t="s">
        <v>20</v>
      </c>
      <c r="L18" s="2"/>
      <c r="M18" s="2"/>
    </row>
    <row r="19" customFormat="false" ht="15" hidden="false" customHeight="false" outlineLevel="0" collapsed="false">
      <c r="A19" s="2" t="s">
        <v>46</v>
      </c>
      <c r="B19" s="2" t="s">
        <v>38</v>
      </c>
      <c r="C19" s="2" t="s">
        <v>15</v>
      </c>
      <c r="D19" s="3" t="n">
        <v>663.87</v>
      </c>
      <c r="E19" s="3" t="n">
        <v>66.39</v>
      </c>
      <c r="F19" s="4" t="n">
        <f aca="false">IF(D19&lt;&gt;0,E19/D19,"")</f>
        <v>0.100004518957025</v>
      </c>
      <c r="G19" s="2" t="s">
        <v>23</v>
      </c>
      <c r="H19" s="2" t="s">
        <v>24</v>
      </c>
      <c r="I19" s="2" t="s">
        <v>53</v>
      </c>
      <c r="J19" s="2" t="s">
        <v>19</v>
      </c>
      <c r="K19" s="2" t="s">
        <v>20</v>
      </c>
      <c r="L19" s="2"/>
      <c r="M19" s="2"/>
    </row>
    <row r="20" customFormat="false" ht="15" hidden="false" customHeight="false" outlineLevel="0" collapsed="false">
      <c r="A20" s="2" t="s">
        <v>46</v>
      </c>
      <c r="B20" s="2" t="s">
        <v>43</v>
      </c>
      <c r="C20" s="2" t="s">
        <v>27</v>
      </c>
      <c r="D20" s="3" t="n">
        <v>5385</v>
      </c>
      <c r="E20" s="3" t="n">
        <v>538.5</v>
      </c>
      <c r="F20" s="4" t="n">
        <f aca="false">IF(D20&lt;&gt;0,E20/D20,"")</f>
        <v>0.1</v>
      </c>
      <c r="G20" s="2" t="s">
        <v>23</v>
      </c>
      <c r="H20" s="2" t="s">
        <v>24</v>
      </c>
      <c r="I20" s="2"/>
      <c r="J20" s="2" t="s">
        <v>19</v>
      </c>
      <c r="K20" s="2" t="s">
        <v>20</v>
      </c>
      <c r="L20" s="2" t="s">
        <v>44</v>
      </c>
      <c r="M20" s="2"/>
    </row>
    <row r="21" customFormat="false" ht="15" hidden="false" customHeight="false" outlineLevel="0" collapsed="false">
      <c r="A21" s="2" t="s">
        <v>46</v>
      </c>
      <c r="B21" s="2" t="s">
        <v>54</v>
      </c>
      <c r="C21" s="2" t="s">
        <v>15</v>
      </c>
      <c r="D21" s="3" t="n">
        <v>3567</v>
      </c>
      <c r="E21" s="3" t="n">
        <v>356.7</v>
      </c>
      <c r="F21" s="4" t="n">
        <f aca="false">IF(D21&lt;&gt;0,E21/D21,"")</f>
        <v>0.1</v>
      </c>
      <c r="G21" s="2" t="s">
        <v>23</v>
      </c>
      <c r="H21" s="2" t="s">
        <v>24</v>
      </c>
      <c r="I21" s="2"/>
      <c r="J21" s="2" t="s">
        <v>19</v>
      </c>
      <c r="K21" s="2" t="s">
        <v>20</v>
      </c>
      <c r="L21" s="2" t="s">
        <v>44</v>
      </c>
      <c r="M21" s="2"/>
    </row>
    <row r="22" customFormat="false" ht="15" hidden="false" customHeight="false" outlineLevel="0" collapsed="false">
      <c r="A22" s="2" t="s">
        <v>46</v>
      </c>
      <c r="B22" s="2" t="s">
        <v>14</v>
      </c>
      <c r="C22" s="2" t="s">
        <v>15</v>
      </c>
      <c r="D22" s="3" t="n">
        <v>150.98</v>
      </c>
      <c r="E22" s="3" t="n">
        <v>150.98</v>
      </c>
      <c r="F22" s="4" t="n">
        <f aca="false">IF(D22&lt;&gt;0,E22/D22,"")</f>
        <v>1</v>
      </c>
      <c r="G22" s="2" t="s">
        <v>16</v>
      </c>
      <c r="H22" s="2" t="s">
        <v>17</v>
      </c>
      <c r="I22" s="2" t="s">
        <v>55</v>
      </c>
      <c r="J22" s="2" t="s">
        <v>19</v>
      </c>
      <c r="K22" s="2" t="s">
        <v>20</v>
      </c>
      <c r="L22" s="2"/>
      <c r="M22" s="2"/>
    </row>
    <row r="23" customFormat="false" ht="15" hidden="false" customHeight="false" outlineLevel="0" collapsed="false">
      <c r="A23" s="2" t="s">
        <v>56</v>
      </c>
      <c r="B23" s="2" t="s">
        <v>26</v>
      </c>
      <c r="C23" s="2" t="s">
        <v>27</v>
      </c>
      <c r="D23" s="3" t="n">
        <v>0</v>
      </c>
      <c r="E23" s="3" t="n">
        <v>3889.36</v>
      </c>
      <c r="F23" s="2"/>
      <c r="G23" s="2" t="s">
        <v>23</v>
      </c>
      <c r="H23" s="2" t="s">
        <v>57</v>
      </c>
      <c r="I23" s="2" t="s">
        <v>58</v>
      </c>
      <c r="J23" s="2" t="s">
        <v>19</v>
      </c>
      <c r="K23" s="2" t="s">
        <v>20</v>
      </c>
      <c r="L23" s="2" t="s">
        <v>59</v>
      </c>
      <c r="M23" s="2"/>
    </row>
    <row r="24" customFormat="false" ht="15" hidden="false" customHeight="false" outlineLevel="0" collapsed="false">
      <c r="A24" s="2" t="s">
        <v>56</v>
      </c>
      <c r="B24" s="2" t="s">
        <v>29</v>
      </c>
      <c r="C24" s="2" t="s">
        <v>15</v>
      </c>
      <c r="D24" s="3" t="n">
        <v>15197</v>
      </c>
      <c r="E24" s="3" t="n">
        <v>1514.9</v>
      </c>
      <c r="F24" s="4" t="n">
        <f aca="false">IF(D24&lt;&gt;0,E24/D24,"")</f>
        <v>0.0996841481871422</v>
      </c>
      <c r="G24" s="2" t="s">
        <v>23</v>
      </c>
      <c r="H24" s="2" t="s">
        <v>57</v>
      </c>
      <c r="I24" s="2" t="s">
        <v>60</v>
      </c>
      <c r="J24" s="2" t="s">
        <v>19</v>
      </c>
      <c r="K24" s="2" t="s">
        <v>20</v>
      </c>
      <c r="L24" s="2"/>
      <c r="M24" s="2"/>
    </row>
    <row r="25" customFormat="false" ht="15" hidden="false" customHeight="false" outlineLevel="0" collapsed="false">
      <c r="A25" s="2" t="s">
        <v>56</v>
      </c>
      <c r="B25" s="2" t="s">
        <v>34</v>
      </c>
      <c r="C25" s="2" t="s">
        <v>27</v>
      </c>
      <c r="D25" s="3" t="n">
        <v>1543.9</v>
      </c>
      <c r="E25" s="3" t="n">
        <v>123.51</v>
      </c>
      <c r="F25" s="4" t="n">
        <f aca="false">IF(D25&lt;&gt;0,E25/D25,"")</f>
        <v>0.0799987045793121</v>
      </c>
      <c r="G25" s="2" t="s">
        <v>23</v>
      </c>
      <c r="H25" s="2" t="s">
        <v>57</v>
      </c>
      <c r="I25" s="2" t="s">
        <v>61</v>
      </c>
      <c r="J25" s="2" t="s">
        <v>19</v>
      </c>
      <c r="K25" s="2" t="s">
        <v>20</v>
      </c>
      <c r="L25" s="2" t="s">
        <v>62</v>
      </c>
      <c r="M25" s="2"/>
    </row>
    <row r="26" customFormat="false" ht="15" hidden="false" customHeight="false" outlineLevel="0" collapsed="false">
      <c r="A26" s="2" t="s">
        <v>56</v>
      </c>
      <c r="B26" s="2" t="s">
        <v>34</v>
      </c>
      <c r="C26" s="2" t="s">
        <v>15</v>
      </c>
      <c r="D26" s="3" t="n">
        <v>1061</v>
      </c>
      <c r="E26" s="3" t="n">
        <v>106.1</v>
      </c>
      <c r="F26" s="4" t="n">
        <f aca="false">IF(D26&lt;&gt;0,E26/D26,"")</f>
        <v>0.1</v>
      </c>
      <c r="G26" s="2" t="s">
        <v>23</v>
      </c>
      <c r="H26" s="2" t="s">
        <v>57</v>
      </c>
      <c r="I26" s="2" t="s">
        <v>61</v>
      </c>
      <c r="J26" s="2" t="s">
        <v>19</v>
      </c>
      <c r="K26" s="2" t="s">
        <v>20</v>
      </c>
      <c r="L26" s="2" t="s">
        <v>63</v>
      </c>
      <c r="M26" s="2"/>
    </row>
    <row r="27" customFormat="false" ht="15" hidden="false" customHeight="false" outlineLevel="0" collapsed="false">
      <c r="A27" s="2" t="s">
        <v>56</v>
      </c>
      <c r="B27" s="2" t="s">
        <v>36</v>
      </c>
      <c r="C27" s="2" t="s">
        <v>27</v>
      </c>
      <c r="D27" s="3" t="n">
        <v>1646.54</v>
      </c>
      <c r="E27" s="3" t="n">
        <v>131.73</v>
      </c>
      <c r="F27" s="4" t="n">
        <f aca="false">IF(D27&lt;&gt;0,E27/D27,"")</f>
        <v>0.0800041298723384</v>
      </c>
      <c r="G27" s="2" t="s">
        <v>23</v>
      </c>
      <c r="H27" s="2" t="s">
        <v>57</v>
      </c>
      <c r="I27" s="2" t="s">
        <v>64</v>
      </c>
      <c r="J27" s="2" t="s">
        <v>19</v>
      </c>
      <c r="K27" s="2" t="s">
        <v>20</v>
      </c>
      <c r="L27" s="2"/>
      <c r="M27" s="2"/>
    </row>
    <row r="28" customFormat="false" ht="15" hidden="false" customHeight="false" outlineLevel="0" collapsed="false">
      <c r="A28" s="2" t="s">
        <v>56</v>
      </c>
      <c r="B28" s="2" t="s">
        <v>22</v>
      </c>
      <c r="C28" s="2" t="s">
        <v>15</v>
      </c>
      <c r="D28" s="3" t="n">
        <v>217</v>
      </c>
      <c r="E28" s="3" t="n">
        <v>30.38</v>
      </c>
      <c r="F28" s="4" t="n">
        <f aca="false">IF(D28&lt;&gt;0,E28/D28,"")</f>
        <v>0.14</v>
      </c>
      <c r="G28" s="2" t="s">
        <v>23</v>
      </c>
      <c r="H28" s="2" t="s">
        <v>17</v>
      </c>
      <c r="I28" s="2" t="s">
        <v>65</v>
      </c>
      <c r="J28" s="2" t="s">
        <v>19</v>
      </c>
      <c r="K28" s="2" t="s">
        <v>20</v>
      </c>
      <c r="L28" s="2" t="s">
        <v>66</v>
      </c>
      <c r="M28" s="2"/>
    </row>
    <row r="29" customFormat="false" ht="15" hidden="false" customHeight="false" outlineLevel="0" collapsed="false">
      <c r="A29" s="2" t="s">
        <v>56</v>
      </c>
      <c r="B29" s="2" t="s">
        <v>31</v>
      </c>
      <c r="C29" s="2" t="s">
        <v>15</v>
      </c>
      <c r="D29" s="3" t="n">
        <v>0</v>
      </c>
      <c r="E29" s="3" t="n">
        <v>639.82</v>
      </c>
      <c r="F29" s="2"/>
      <c r="G29" s="2" t="s">
        <v>23</v>
      </c>
      <c r="H29" s="2" t="s">
        <v>24</v>
      </c>
      <c r="I29" s="2" t="s">
        <v>67</v>
      </c>
      <c r="J29" s="2" t="s">
        <v>19</v>
      </c>
      <c r="K29" s="2" t="s">
        <v>20</v>
      </c>
      <c r="L29" s="2" t="s">
        <v>68</v>
      </c>
      <c r="M29" s="2"/>
    </row>
    <row r="30" customFormat="false" ht="15" hidden="false" customHeight="false" outlineLevel="0" collapsed="false">
      <c r="A30" s="2" t="s">
        <v>56</v>
      </c>
      <c r="B30" s="2" t="s">
        <v>38</v>
      </c>
      <c r="C30" s="2" t="s">
        <v>15</v>
      </c>
      <c r="D30" s="3" t="n">
        <v>341</v>
      </c>
      <c r="E30" s="3" t="n">
        <v>34.1</v>
      </c>
      <c r="F30" s="4" t="n">
        <f aca="false">IF(D30&lt;&gt;0,E30/D30,"")</f>
        <v>0.1</v>
      </c>
      <c r="G30" s="2" t="s">
        <v>23</v>
      </c>
      <c r="H30" s="2" t="s">
        <v>24</v>
      </c>
      <c r="I30" s="2" t="s">
        <v>69</v>
      </c>
      <c r="J30" s="2" t="s">
        <v>19</v>
      </c>
      <c r="K30" s="2" t="s">
        <v>20</v>
      </c>
      <c r="L30" s="2" t="s">
        <v>70</v>
      </c>
      <c r="M30" s="2"/>
    </row>
    <row r="31" customFormat="false" ht="15" hidden="false" customHeight="false" outlineLevel="0" collapsed="false">
      <c r="A31" s="2" t="s">
        <v>56</v>
      </c>
      <c r="B31" s="2" t="s">
        <v>71</v>
      </c>
      <c r="C31" s="2" t="s">
        <v>27</v>
      </c>
      <c r="D31" s="3" t="n">
        <v>6833</v>
      </c>
      <c r="E31" s="3" t="n">
        <v>1024.95</v>
      </c>
      <c r="F31" s="4" t="n">
        <f aca="false">IF(D31&lt;&gt;0,E31/D31,"")</f>
        <v>0.15</v>
      </c>
      <c r="G31" s="2" t="s">
        <v>72</v>
      </c>
      <c r="H31" s="2" t="s">
        <v>57</v>
      </c>
      <c r="I31" s="2" t="s">
        <v>73</v>
      </c>
      <c r="J31" s="2" t="s">
        <v>19</v>
      </c>
      <c r="K31" s="2" t="s">
        <v>20</v>
      </c>
      <c r="L31" s="2" t="s">
        <v>74</v>
      </c>
      <c r="M31" s="2"/>
    </row>
    <row r="32" customFormat="false" ht="15" hidden="false" customHeight="false" outlineLevel="0" collapsed="false">
      <c r="A32" s="2" t="s">
        <v>56</v>
      </c>
      <c r="B32" s="2" t="s">
        <v>14</v>
      </c>
      <c r="C32" s="2" t="s">
        <v>15</v>
      </c>
      <c r="D32" s="3" t="n">
        <v>63.57</v>
      </c>
      <c r="E32" s="3" t="n">
        <v>63.57</v>
      </c>
      <c r="F32" s="4" t="n">
        <f aca="false">IF(D32&lt;&gt;0,E32/D32,"")</f>
        <v>1</v>
      </c>
      <c r="G32" s="2" t="s">
        <v>16</v>
      </c>
      <c r="H32" s="2" t="s">
        <v>17</v>
      </c>
      <c r="I32" s="2" t="s">
        <v>75</v>
      </c>
      <c r="J32" s="2" t="s">
        <v>19</v>
      </c>
      <c r="K32" s="2" t="s">
        <v>20</v>
      </c>
      <c r="L32" s="2"/>
      <c r="M32" s="2"/>
    </row>
    <row r="33" customFormat="false" ht="15" hidden="false" customHeight="false" outlineLevel="0" collapsed="false">
      <c r="A33" s="2" t="s">
        <v>56</v>
      </c>
      <c r="B33" s="2" t="s">
        <v>76</v>
      </c>
      <c r="C33" s="2" t="s">
        <v>15</v>
      </c>
      <c r="D33" s="3" t="n">
        <v>49709.1</v>
      </c>
      <c r="E33" s="3" t="n">
        <v>4734.2</v>
      </c>
      <c r="F33" s="4" t="n">
        <f aca="false">IF(D33&lt;&gt;0,E33/D33,"")</f>
        <v>0.0952380952380952</v>
      </c>
      <c r="G33" s="2" t="s">
        <v>16</v>
      </c>
      <c r="H33" s="2" t="s">
        <v>57</v>
      </c>
      <c r="I33" s="2" t="s">
        <v>77</v>
      </c>
      <c r="J33" s="2" t="s">
        <v>19</v>
      </c>
      <c r="K33" s="2" t="s">
        <v>78</v>
      </c>
      <c r="L33" s="2" t="s">
        <v>79</v>
      </c>
      <c r="M33" s="2"/>
    </row>
    <row r="34" customFormat="false" ht="15" hidden="false" customHeight="false" outlineLevel="0" collapsed="false">
      <c r="A34" s="2" t="s">
        <v>80</v>
      </c>
      <c r="B34" s="2" t="s">
        <v>14</v>
      </c>
      <c r="C34" s="2" t="s">
        <v>15</v>
      </c>
      <c r="D34" s="3" t="n">
        <v>238.39</v>
      </c>
      <c r="E34" s="3" t="n">
        <v>238.39</v>
      </c>
      <c r="F34" s="4" t="n">
        <f aca="false">IF(D34&lt;&gt;0,E34/D34,"")</f>
        <v>1</v>
      </c>
      <c r="G34" s="2" t="s">
        <v>16</v>
      </c>
      <c r="H34" s="2" t="s">
        <v>17</v>
      </c>
      <c r="I34" s="2" t="s">
        <v>81</v>
      </c>
      <c r="J34" s="2" t="s">
        <v>19</v>
      </c>
      <c r="K34" s="2" t="s">
        <v>20</v>
      </c>
      <c r="L34" s="2"/>
      <c r="M34" s="2"/>
    </row>
  </sheetData>
  <autoFilter ref="A1:M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28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9"/>
    <col collapsed="false" customWidth="true" hidden="false" outlineLevel="0" max="10" min="10" style="0" width="21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5</v>
      </c>
      <c r="J1" s="1" t="s">
        <v>87</v>
      </c>
      <c r="K1" s="1" t="s">
        <v>88</v>
      </c>
      <c r="L1" s="1" t="s">
        <v>8</v>
      </c>
      <c r="M1" s="1" t="s">
        <v>11</v>
      </c>
    </row>
    <row r="2" customFormat="false" ht="15" hidden="false" customHeight="false" outlineLevel="0" collapsed="false">
      <c r="A2" s="2" t="s">
        <v>56</v>
      </c>
      <c r="B2" s="2" t="s">
        <v>29</v>
      </c>
      <c r="C2" s="2" t="s">
        <v>15</v>
      </c>
      <c r="D2" s="2" t="s">
        <v>89</v>
      </c>
      <c r="E2" s="2" t="s">
        <v>90</v>
      </c>
      <c r="F2" s="2" t="s">
        <v>91</v>
      </c>
      <c r="G2" s="2" t="s">
        <v>92</v>
      </c>
      <c r="H2" s="3" t="n">
        <v>500</v>
      </c>
      <c r="I2" s="4" t="n">
        <v>0.12</v>
      </c>
      <c r="J2" s="3" t="n">
        <v>60</v>
      </c>
      <c r="K2" s="2"/>
      <c r="L2" s="2" t="s">
        <v>93</v>
      </c>
      <c r="M2" s="2"/>
    </row>
    <row r="3" customFormat="false" ht="15" hidden="false" customHeight="false" outlineLevel="0" collapsed="false">
      <c r="A3" s="2" t="s">
        <v>56</v>
      </c>
      <c r="B3" s="2" t="s">
        <v>29</v>
      </c>
      <c r="C3" s="2" t="s">
        <v>15</v>
      </c>
      <c r="D3" s="2" t="s">
        <v>94</v>
      </c>
      <c r="E3" s="2" t="s">
        <v>95</v>
      </c>
      <c r="F3" s="2" t="s">
        <v>96</v>
      </c>
      <c r="G3" s="2" t="s">
        <v>97</v>
      </c>
      <c r="H3" s="3" t="n">
        <v>2489</v>
      </c>
      <c r="I3" s="4" t="n">
        <v>0.12</v>
      </c>
      <c r="J3" s="3" t="n">
        <v>298.67</v>
      </c>
      <c r="K3" s="2"/>
      <c r="L3" s="2"/>
      <c r="M3" s="2"/>
    </row>
    <row r="4" customFormat="false" ht="15" hidden="false" customHeight="false" outlineLevel="0" collapsed="false">
      <c r="A4" s="2" t="s">
        <v>56</v>
      </c>
      <c r="B4" s="2" t="s">
        <v>29</v>
      </c>
      <c r="C4" s="2" t="s">
        <v>15</v>
      </c>
      <c r="D4" s="2" t="s">
        <v>98</v>
      </c>
      <c r="E4" s="2" t="s">
        <v>99</v>
      </c>
      <c r="F4" s="2" t="s">
        <v>96</v>
      </c>
      <c r="G4" s="2" t="s">
        <v>100</v>
      </c>
      <c r="H4" s="3" t="n">
        <v>2928</v>
      </c>
      <c r="I4" s="4" t="n">
        <v>0.09</v>
      </c>
      <c r="J4" s="3" t="n">
        <v>263.52</v>
      </c>
      <c r="K4" s="2"/>
      <c r="L4" s="2"/>
      <c r="M4" s="2"/>
    </row>
    <row r="5" customFormat="false" ht="15" hidden="false" customHeight="false" outlineLevel="0" collapsed="false">
      <c r="A5" s="2" t="s">
        <v>56</v>
      </c>
      <c r="B5" s="2" t="s">
        <v>29</v>
      </c>
      <c r="C5" s="2" t="s">
        <v>15</v>
      </c>
      <c r="D5" s="2" t="s">
        <v>101</v>
      </c>
      <c r="E5" s="2" t="s">
        <v>102</v>
      </c>
      <c r="F5" s="2" t="s">
        <v>96</v>
      </c>
      <c r="G5" s="2" t="s">
        <v>103</v>
      </c>
      <c r="H5" s="3" t="n">
        <v>2386</v>
      </c>
      <c r="I5" s="4" t="n">
        <v>0.12</v>
      </c>
      <c r="J5" s="3" t="n">
        <v>286.32</v>
      </c>
      <c r="K5" s="2"/>
      <c r="L5" s="2"/>
      <c r="M5" s="2"/>
    </row>
    <row r="6" customFormat="false" ht="15" hidden="false" customHeight="false" outlineLevel="0" collapsed="false">
      <c r="A6" s="2" t="s">
        <v>56</v>
      </c>
      <c r="B6" s="2" t="s">
        <v>29</v>
      </c>
      <c r="C6" s="2" t="s">
        <v>15</v>
      </c>
      <c r="D6" s="2" t="s">
        <v>104</v>
      </c>
      <c r="E6" s="2" t="s">
        <v>105</v>
      </c>
      <c r="F6" s="2" t="s">
        <v>96</v>
      </c>
      <c r="G6" s="2" t="s">
        <v>106</v>
      </c>
      <c r="H6" s="3" t="n">
        <v>1094</v>
      </c>
      <c r="I6" s="4" t="n">
        <v>0.09</v>
      </c>
      <c r="J6" s="3" t="n">
        <v>98.46</v>
      </c>
      <c r="K6" s="2"/>
      <c r="L6" s="2"/>
      <c r="M6" s="2"/>
    </row>
    <row r="7" customFormat="false" ht="15" hidden="false" customHeight="false" outlineLevel="0" collapsed="false">
      <c r="A7" s="2" t="s">
        <v>56</v>
      </c>
      <c r="B7" s="2" t="s">
        <v>29</v>
      </c>
      <c r="C7" s="2" t="s">
        <v>15</v>
      </c>
      <c r="D7" s="2" t="s">
        <v>107</v>
      </c>
      <c r="E7" s="2" t="s">
        <v>108</v>
      </c>
      <c r="F7" s="2" t="s">
        <v>96</v>
      </c>
      <c r="G7" s="2" t="s">
        <v>109</v>
      </c>
      <c r="H7" s="3" t="n">
        <v>2531</v>
      </c>
      <c r="I7" s="4" t="n">
        <v>0.12</v>
      </c>
      <c r="J7" s="3" t="n">
        <v>303.72</v>
      </c>
      <c r="K7" s="2"/>
      <c r="L7" s="2"/>
      <c r="M7" s="2"/>
    </row>
    <row r="8" customFormat="false" ht="15" hidden="false" customHeight="false" outlineLevel="0" collapsed="false">
      <c r="A8" s="2" t="s">
        <v>56</v>
      </c>
      <c r="B8" s="2" t="s">
        <v>29</v>
      </c>
      <c r="C8" s="2" t="s">
        <v>15</v>
      </c>
      <c r="D8" s="2" t="s">
        <v>110</v>
      </c>
      <c r="E8" s="2" t="s">
        <v>111</v>
      </c>
      <c r="F8" s="2" t="s">
        <v>96</v>
      </c>
      <c r="G8" s="2" t="s">
        <v>112</v>
      </c>
      <c r="H8" s="3" t="n">
        <v>2269</v>
      </c>
      <c r="I8" s="4" t="n">
        <v>0.09</v>
      </c>
      <c r="J8" s="3" t="n">
        <v>204.21</v>
      </c>
      <c r="K8" s="2"/>
      <c r="L8" s="2"/>
      <c r="M8" s="2"/>
    </row>
    <row r="9" customFormat="false" ht="15" hidden="false" customHeight="false" outlineLevel="0" collapsed="false">
      <c r="A9" s="2" t="s">
        <v>56</v>
      </c>
      <c r="B9" s="2" t="s">
        <v>34</v>
      </c>
      <c r="C9" s="2" t="s">
        <v>27</v>
      </c>
      <c r="D9" s="2" t="s">
        <v>113</v>
      </c>
      <c r="E9" s="2" t="s">
        <v>114</v>
      </c>
      <c r="F9" s="2" t="s">
        <v>96</v>
      </c>
      <c r="G9" s="2" t="s">
        <v>115</v>
      </c>
      <c r="H9" s="3" t="n">
        <v>247</v>
      </c>
      <c r="I9" s="4" t="n">
        <v>0.08</v>
      </c>
      <c r="J9" s="3" t="n">
        <v>19.76</v>
      </c>
      <c r="K9" s="2" t="s">
        <v>116</v>
      </c>
      <c r="L9" s="2" t="s">
        <v>61</v>
      </c>
      <c r="M9" s="2"/>
    </row>
    <row r="10" customFormat="false" ht="15" hidden="false" customHeight="false" outlineLevel="0" collapsed="false">
      <c r="A10" s="2" t="s">
        <v>56</v>
      </c>
      <c r="B10" s="2" t="s">
        <v>34</v>
      </c>
      <c r="C10" s="2" t="s">
        <v>15</v>
      </c>
      <c r="D10" s="2" t="s">
        <v>117</v>
      </c>
      <c r="E10" s="2" t="s">
        <v>118</v>
      </c>
      <c r="F10" s="2" t="s">
        <v>119</v>
      </c>
      <c r="G10" s="2" t="s">
        <v>106</v>
      </c>
      <c r="H10" s="3" t="n">
        <v>1061</v>
      </c>
      <c r="I10" s="4" t="n">
        <v>0.1</v>
      </c>
      <c r="J10" s="3" t="n">
        <v>106.1</v>
      </c>
      <c r="K10" s="2" t="s">
        <v>120</v>
      </c>
      <c r="L10" s="2"/>
      <c r="M10" s="2" t="s">
        <v>63</v>
      </c>
    </row>
    <row r="11" customFormat="false" ht="15" hidden="false" customHeight="false" outlineLevel="0" collapsed="false">
      <c r="A11" s="2" t="s">
        <v>56</v>
      </c>
      <c r="B11" s="2" t="s">
        <v>34</v>
      </c>
      <c r="C11" s="2" t="s">
        <v>27</v>
      </c>
      <c r="D11" s="2" t="s">
        <v>121</v>
      </c>
      <c r="E11" s="2" t="s">
        <v>122</v>
      </c>
      <c r="F11" s="2" t="s">
        <v>123</v>
      </c>
      <c r="G11" s="2" t="s">
        <v>124</v>
      </c>
      <c r="H11" s="3" t="n">
        <v>-48.51</v>
      </c>
      <c r="I11" s="4" t="n">
        <v>0.08</v>
      </c>
      <c r="J11" s="3" t="n">
        <v>-3.88</v>
      </c>
      <c r="K11" s="2" t="s">
        <v>116</v>
      </c>
      <c r="L11" s="2"/>
      <c r="M11" s="2"/>
    </row>
    <row r="12" customFormat="false" ht="15" hidden="false" customHeight="false" outlineLevel="0" collapsed="false">
      <c r="A12" s="2" t="s">
        <v>56</v>
      </c>
      <c r="B12" s="2" t="s">
        <v>34</v>
      </c>
      <c r="C12" s="2" t="s">
        <v>27</v>
      </c>
      <c r="D12" s="2" t="s">
        <v>125</v>
      </c>
      <c r="E12" s="2" t="s">
        <v>126</v>
      </c>
      <c r="F12" s="2" t="s">
        <v>119</v>
      </c>
      <c r="G12" s="2" t="s">
        <v>97</v>
      </c>
      <c r="H12" s="3" t="n">
        <v>20.9</v>
      </c>
      <c r="I12" s="4" t="n">
        <v>0.08</v>
      </c>
      <c r="J12" s="3" t="n">
        <v>1.67</v>
      </c>
      <c r="K12" s="2" t="s">
        <v>116</v>
      </c>
      <c r="L12" s="2"/>
      <c r="M12" s="2"/>
    </row>
    <row r="13" customFormat="false" ht="15" hidden="false" customHeight="false" outlineLevel="0" collapsed="false">
      <c r="A13" s="2" t="s">
        <v>56</v>
      </c>
      <c r="B13" s="2" t="s">
        <v>34</v>
      </c>
      <c r="C13" s="2" t="s">
        <v>27</v>
      </c>
      <c r="D13" s="2" t="s">
        <v>127</v>
      </c>
      <c r="E13" s="2" t="s">
        <v>128</v>
      </c>
      <c r="F13" s="2" t="s">
        <v>96</v>
      </c>
      <c r="G13" s="2" t="s">
        <v>129</v>
      </c>
      <c r="H13" s="3" t="n">
        <v>757</v>
      </c>
      <c r="I13" s="4" t="n">
        <v>0.08</v>
      </c>
      <c r="J13" s="3" t="n">
        <v>60.56</v>
      </c>
      <c r="K13" s="2" t="s">
        <v>116</v>
      </c>
      <c r="L13" s="2"/>
      <c r="M13" s="2"/>
    </row>
    <row r="14" customFormat="false" ht="15" hidden="false" customHeight="false" outlineLevel="0" collapsed="false">
      <c r="A14" s="2" t="s">
        <v>56</v>
      </c>
      <c r="B14" s="2" t="s">
        <v>34</v>
      </c>
      <c r="C14" s="2" t="s">
        <v>27</v>
      </c>
      <c r="D14" s="2" t="s">
        <v>130</v>
      </c>
      <c r="E14" s="2" t="s">
        <v>131</v>
      </c>
      <c r="F14" s="2" t="s">
        <v>96</v>
      </c>
      <c r="G14" s="2" t="s">
        <v>132</v>
      </c>
      <c r="H14" s="3" t="n">
        <v>288</v>
      </c>
      <c r="I14" s="4" t="n">
        <v>0.08</v>
      </c>
      <c r="J14" s="3" t="n">
        <v>23.04</v>
      </c>
      <c r="K14" s="2" t="s">
        <v>116</v>
      </c>
      <c r="L14" s="2"/>
      <c r="M14" s="2"/>
    </row>
    <row r="15" customFormat="false" ht="15" hidden="false" customHeight="false" outlineLevel="0" collapsed="false">
      <c r="A15" s="2" t="s">
        <v>56</v>
      </c>
      <c r="B15" s="2" t="s">
        <v>34</v>
      </c>
      <c r="C15" s="2" t="s">
        <v>27</v>
      </c>
      <c r="D15" s="2" t="s">
        <v>133</v>
      </c>
      <c r="E15" s="2" t="s">
        <v>134</v>
      </c>
      <c r="F15" s="2" t="s">
        <v>119</v>
      </c>
      <c r="G15" s="2" t="s">
        <v>124</v>
      </c>
      <c r="H15" s="3" t="n">
        <v>279.51</v>
      </c>
      <c r="I15" s="4" t="n">
        <v>0.08</v>
      </c>
      <c r="J15" s="3" t="n">
        <v>22.36</v>
      </c>
      <c r="K15" s="2" t="s">
        <v>116</v>
      </c>
      <c r="L15" s="2"/>
      <c r="M15" s="2"/>
    </row>
    <row r="16" customFormat="false" ht="15" hidden="false" customHeight="false" outlineLevel="0" collapsed="false">
      <c r="A16" s="2" t="s">
        <v>56</v>
      </c>
      <c r="B16" s="2" t="s">
        <v>22</v>
      </c>
      <c r="C16" s="2" t="s">
        <v>15</v>
      </c>
      <c r="D16" s="2" t="s">
        <v>135</v>
      </c>
      <c r="E16" s="2" t="s">
        <v>136</v>
      </c>
      <c r="F16" s="2" t="s">
        <v>91</v>
      </c>
      <c r="G16" s="2" t="s">
        <v>137</v>
      </c>
      <c r="H16" s="3" t="n">
        <v>217</v>
      </c>
      <c r="I16" s="4" t="n">
        <v>0.14</v>
      </c>
      <c r="J16" s="3" t="n">
        <v>30.38</v>
      </c>
      <c r="K16" s="2"/>
      <c r="L16" s="2" t="s">
        <v>65</v>
      </c>
      <c r="M16" s="2"/>
    </row>
    <row r="17" customFormat="false" ht="15" hidden="false" customHeight="false" outlineLevel="0" collapsed="false">
      <c r="A17" s="2" t="s">
        <v>56</v>
      </c>
      <c r="B17" s="2" t="s">
        <v>31</v>
      </c>
      <c r="C17" s="2" t="s">
        <v>15</v>
      </c>
      <c r="D17" s="2" t="s">
        <v>138</v>
      </c>
      <c r="E17" s="2" t="s">
        <v>139</v>
      </c>
      <c r="F17" s="2" t="s">
        <v>96</v>
      </c>
      <c r="G17" s="2" t="s">
        <v>140</v>
      </c>
      <c r="H17" s="3" t="n">
        <v>2980</v>
      </c>
      <c r="I17" s="4" t="n">
        <v>0.16</v>
      </c>
      <c r="J17" s="3" t="n">
        <v>476.8</v>
      </c>
      <c r="K17" s="2"/>
      <c r="L17" s="2" t="s">
        <v>67</v>
      </c>
      <c r="M17" s="2" t="s">
        <v>141</v>
      </c>
    </row>
    <row r="18" customFormat="false" ht="15" hidden="false" customHeight="false" outlineLevel="0" collapsed="false">
      <c r="A18" s="2" t="s">
        <v>56</v>
      </c>
      <c r="B18" s="2" t="s">
        <v>31</v>
      </c>
      <c r="C18" s="2" t="s">
        <v>15</v>
      </c>
      <c r="D18" s="2" t="s">
        <v>142</v>
      </c>
      <c r="E18" s="2" t="s">
        <v>143</v>
      </c>
      <c r="F18" s="2" t="s">
        <v>119</v>
      </c>
      <c r="G18" s="2" t="s">
        <v>144</v>
      </c>
      <c r="H18" s="3" t="n">
        <v>11410</v>
      </c>
      <c r="I18" s="2"/>
      <c r="J18" s="3" t="n">
        <v>23.22</v>
      </c>
      <c r="K18" s="2"/>
      <c r="L18" s="2"/>
      <c r="M18" s="2" t="s">
        <v>141</v>
      </c>
    </row>
    <row r="19" customFormat="false" ht="15" hidden="false" customHeight="false" outlineLevel="0" collapsed="false">
      <c r="A19" s="2" t="s">
        <v>56</v>
      </c>
      <c r="B19" s="2" t="s">
        <v>31</v>
      </c>
      <c r="C19" s="2" t="s">
        <v>15</v>
      </c>
      <c r="D19" s="2" t="s">
        <v>138</v>
      </c>
      <c r="E19" s="2" t="s">
        <v>145</v>
      </c>
      <c r="F19" s="2" t="s">
        <v>96</v>
      </c>
      <c r="G19" s="2" t="s">
        <v>100</v>
      </c>
      <c r="H19" s="3" t="n">
        <v>1547</v>
      </c>
      <c r="I19" s="4" t="n">
        <v>0.12</v>
      </c>
      <c r="J19" s="3" t="n">
        <v>185.64</v>
      </c>
      <c r="K19" s="2"/>
      <c r="L19" s="2"/>
      <c r="M19" s="2" t="s">
        <v>146</v>
      </c>
    </row>
    <row r="20" customFormat="false" ht="15" hidden="false" customHeight="false" outlineLevel="0" collapsed="false">
      <c r="A20" s="2" t="s">
        <v>56</v>
      </c>
      <c r="B20" s="2" t="s">
        <v>31</v>
      </c>
      <c r="C20" s="2" t="s">
        <v>15</v>
      </c>
      <c r="D20" s="2" t="s">
        <v>147</v>
      </c>
      <c r="E20" s="2" t="s">
        <v>148</v>
      </c>
      <c r="F20" s="2" t="s">
        <v>119</v>
      </c>
      <c r="G20" s="2" t="s">
        <v>149</v>
      </c>
      <c r="H20" s="3" t="n">
        <v>2567</v>
      </c>
      <c r="I20" s="2"/>
      <c r="J20" s="3" t="n">
        <v>-45.84</v>
      </c>
      <c r="K20" s="2"/>
      <c r="L20" s="2"/>
      <c r="M20" s="2" t="s">
        <v>146</v>
      </c>
    </row>
    <row r="21" customFormat="false" ht="15" hidden="false" customHeight="false" outlineLevel="0" collapsed="false">
      <c r="A21" s="2" t="s">
        <v>56</v>
      </c>
      <c r="B21" s="2" t="s">
        <v>38</v>
      </c>
      <c r="C21" s="2" t="s">
        <v>15</v>
      </c>
      <c r="D21" s="2" t="s">
        <v>150</v>
      </c>
      <c r="E21" s="2" t="s">
        <v>151</v>
      </c>
      <c r="F21" s="2"/>
      <c r="G21" s="2" t="s">
        <v>152</v>
      </c>
      <c r="H21" s="3" t="n">
        <v>341</v>
      </c>
      <c r="I21" s="4" t="n">
        <v>0.1</v>
      </c>
      <c r="J21" s="3" t="n">
        <v>34.1</v>
      </c>
      <c r="K21" s="2"/>
      <c r="L21" s="2" t="s">
        <v>69</v>
      </c>
      <c r="M21" s="2" t="s">
        <v>146</v>
      </c>
    </row>
    <row r="22" customFormat="false" ht="15" hidden="false" customHeight="false" outlineLevel="0" collapsed="false">
      <c r="A22" s="2" t="s">
        <v>56</v>
      </c>
      <c r="B22" s="2" t="s">
        <v>71</v>
      </c>
      <c r="C22" s="2" t="s">
        <v>27</v>
      </c>
      <c r="D22" s="2" t="s">
        <v>153</v>
      </c>
      <c r="E22" s="2" t="s">
        <v>154</v>
      </c>
      <c r="F22" s="2" t="s">
        <v>155</v>
      </c>
      <c r="G22" s="2" t="s">
        <v>100</v>
      </c>
      <c r="H22" s="3" t="n">
        <v>2617</v>
      </c>
      <c r="I22" s="4" t="n">
        <v>0.15</v>
      </c>
      <c r="J22" s="3" t="n">
        <v>392.55</v>
      </c>
      <c r="K22" s="2" t="s">
        <v>116</v>
      </c>
      <c r="L22" s="2" t="s">
        <v>73</v>
      </c>
      <c r="M22" s="2"/>
    </row>
    <row r="23" customFormat="false" ht="15" hidden="false" customHeight="false" outlineLevel="0" collapsed="false">
      <c r="A23" s="2" t="s">
        <v>56</v>
      </c>
      <c r="B23" s="2" t="s">
        <v>71</v>
      </c>
      <c r="C23" s="2" t="s">
        <v>27</v>
      </c>
      <c r="D23" s="2" t="s">
        <v>156</v>
      </c>
      <c r="E23" s="2" t="s">
        <v>157</v>
      </c>
      <c r="F23" s="2" t="s">
        <v>155</v>
      </c>
      <c r="G23" s="2" t="s">
        <v>100</v>
      </c>
      <c r="H23" s="3" t="n">
        <v>1238</v>
      </c>
      <c r="I23" s="4" t="n">
        <v>0.15</v>
      </c>
      <c r="J23" s="3" t="n">
        <v>185.7</v>
      </c>
      <c r="K23" s="2" t="s">
        <v>116</v>
      </c>
      <c r="L23" s="2"/>
      <c r="M23" s="2"/>
    </row>
    <row r="24" customFormat="false" ht="15" hidden="false" customHeight="false" outlineLevel="0" collapsed="false">
      <c r="A24" s="2" t="s">
        <v>56</v>
      </c>
      <c r="B24" s="2" t="s">
        <v>71</v>
      </c>
      <c r="C24" s="2" t="s">
        <v>27</v>
      </c>
      <c r="D24" s="2" t="s">
        <v>158</v>
      </c>
      <c r="E24" s="2" t="s">
        <v>159</v>
      </c>
      <c r="F24" s="2" t="s">
        <v>155</v>
      </c>
      <c r="G24" s="2" t="s">
        <v>160</v>
      </c>
      <c r="H24" s="3" t="n">
        <v>2978</v>
      </c>
      <c r="I24" s="4" t="n">
        <v>0.15</v>
      </c>
      <c r="J24" s="3" t="n">
        <v>446.7</v>
      </c>
      <c r="K24" s="2" t="s">
        <v>116</v>
      </c>
      <c r="L24" s="2"/>
      <c r="M24" s="2"/>
    </row>
    <row r="25" customFormat="false" ht="15" hidden="false" customHeight="false" outlineLevel="0" collapsed="false">
      <c r="A25" s="2" t="s">
        <v>13</v>
      </c>
      <c r="B25" s="2" t="s">
        <v>14</v>
      </c>
      <c r="C25" s="2" t="s">
        <v>15</v>
      </c>
      <c r="D25" s="2" t="s">
        <v>161</v>
      </c>
      <c r="E25" s="2" t="s">
        <v>162</v>
      </c>
      <c r="F25" s="2"/>
      <c r="G25" s="2"/>
      <c r="H25" s="3"/>
      <c r="I25" s="2" t="n">
        <v>0</v>
      </c>
      <c r="J25" s="3" t="n">
        <v>87.41</v>
      </c>
      <c r="K25" s="2"/>
      <c r="L25" s="2" t="s">
        <v>163</v>
      </c>
      <c r="M25" s="2"/>
    </row>
    <row r="26" customFormat="false" ht="15" hidden="false" customHeight="false" outlineLevel="0" collapsed="false">
      <c r="A26" s="2" t="s">
        <v>13</v>
      </c>
      <c r="B26" s="2" t="s">
        <v>14</v>
      </c>
      <c r="C26" s="2" t="s">
        <v>15</v>
      </c>
      <c r="D26" s="2" t="s">
        <v>164</v>
      </c>
      <c r="E26" s="2" t="s">
        <v>165</v>
      </c>
      <c r="F26" s="2"/>
      <c r="G26" s="2"/>
      <c r="H26" s="3"/>
      <c r="I26" s="2" t="n">
        <v>0</v>
      </c>
      <c r="J26" s="3" t="n">
        <v>651.28</v>
      </c>
      <c r="K26" s="2"/>
      <c r="L26" s="2"/>
      <c r="M26" s="2"/>
    </row>
    <row r="27" customFormat="false" ht="15" hidden="false" customHeight="false" outlineLevel="0" collapsed="false">
      <c r="A27" s="2" t="s">
        <v>21</v>
      </c>
      <c r="B27" s="2" t="s">
        <v>14</v>
      </c>
      <c r="C27" s="2" t="s">
        <v>15</v>
      </c>
      <c r="D27" s="2" t="s">
        <v>161</v>
      </c>
      <c r="E27" s="2" t="s">
        <v>162</v>
      </c>
      <c r="F27" s="2"/>
      <c r="G27" s="2"/>
      <c r="H27" s="3"/>
      <c r="I27" s="2" t="n">
        <v>0</v>
      </c>
      <c r="J27" s="3" t="n">
        <v>87.41</v>
      </c>
      <c r="K27" s="2"/>
      <c r="L27" s="2" t="s">
        <v>166</v>
      </c>
      <c r="M27" s="2"/>
    </row>
    <row r="28" customFormat="false" ht="15" hidden="false" customHeight="false" outlineLevel="0" collapsed="false">
      <c r="A28" s="2" t="s">
        <v>21</v>
      </c>
      <c r="B28" s="2" t="s">
        <v>14</v>
      </c>
      <c r="C28" s="2" t="s">
        <v>15</v>
      </c>
      <c r="D28" s="2" t="s">
        <v>167</v>
      </c>
      <c r="E28" s="2" t="s">
        <v>168</v>
      </c>
      <c r="F28" s="2"/>
      <c r="G28" s="2"/>
      <c r="H28" s="3"/>
      <c r="I28" s="2" t="n">
        <v>0</v>
      </c>
      <c r="J28" s="3" t="n">
        <v>63.58</v>
      </c>
      <c r="K28" s="2"/>
      <c r="L28" s="2"/>
      <c r="M28" s="2"/>
    </row>
    <row r="29" customFormat="false" ht="15" hidden="false" customHeight="false" outlineLevel="0" collapsed="false">
      <c r="A29" s="2" t="s">
        <v>21</v>
      </c>
      <c r="B29" s="2" t="s">
        <v>14</v>
      </c>
      <c r="C29" s="2" t="s">
        <v>15</v>
      </c>
      <c r="D29" s="2" t="s">
        <v>169</v>
      </c>
      <c r="E29" s="2" t="s">
        <v>170</v>
      </c>
      <c r="F29" s="2"/>
      <c r="G29" s="2"/>
      <c r="H29" s="3"/>
      <c r="I29" s="2" t="n">
        <v>0</v>
      </c>
      <c r="J29" s="3" t="n">
        <v>387.52</v>
      </c>
      <c r="K29" s="2"/>
      <c r="L29" s="2"/>
      <c r="M29" s="2"/>
    </row>
    <row r="30" customFormat="false" ht="15" hidden="false" customHeight="false" outlineLevel="0" collapsed="false">
      <c r="A30" s="2" t="s">
        <v>21</v>
      </c>
      <c r="B30" s="2" t="s">
        <v>14</v>
      </c>
      <c r="C30" s="2" t="s">
        <v>15</v>
      </c>
      <c r="D30" s="2" t="s">
        <v>171</v>
      </c>
      <c r="E30" s="2" t="s">
        <v>172</v>
      </c>
      <c r="F30" s="2"/>
      <c r="G30" s="2"/>
      <c r="H30" s="3"/>
      <c r="I30" s="2" t="n">
        <v>0</v>
      </c>
      <c r="J30" s="3" t="n">
        <v>135.24</v>
      </c>
      <c r="K30" s="2"/>
      <c r="L30" s="2"/>
      <c r="M30" s="2"/>
    </row>
    <row r="31" customFormat="false" ht="15" hidden="false" customHeight="false" outlineLevel="0" collapsed="false">
      <c r="A31" s="2" t="s">
        <v>46</v>
      </c>
      <c r="B31" s="2" t="s">
        <v>14</v>
      </c>
      <c r="C31" s="2" t="s">
        <v>15</v>
      </c>
      <c r="D31" s="2" t="s">
        <v>167</v>
      </c>
      <c r="E31" s="2" t="s">
        <v>168</v>
      </c>
      <c r="F31" s="2"/>
      <c r="G31" s="2"/>
      <c r="H31" s="3"/>
      <c r="I31" s="2" t="n">
        <v>0</v>
      </c>
      <c r="J31" s="3" t="n">
        <v>63.57</v>
      </c>
      <c r="K31" s="2"/>
      <c r="L31" s="2" t="s">
        <v>173</v>
      </c>
      <c r="M31" s="2"/>
    </row>
    <row r="32" customFormat="false" ht="15" hidden="false" customHeight="false" outlineLevel="0" collapsed="false">
      <c r="A32" s="2" t="s">
        <v>46</v>
      </c>
      <c r="B32" s="2" t="s">
        <v>14</v>
      </c>
      <c r="C32" s="2" t="s">
        <v>15</v>
      </c>
      <c r="D32" s="2" t="s">
        <v>161</v>
      </c>
      <c r="E32" s="2" t="s">
        <v>162</v>
      </c>
      <c r="F32" s="2"/>
      <c r="G32" s="2"/>
      <c r="H32" s="3"/>
      <c r="I32" s="2" t="n">
        <v>0</v>
      </c>
      <c r="J32" s="3" t="n">
        <v>87.41</v>
      </c>
      <c r="K32" s="2"/>
      <c r="L32" s="2"/>
      <c r="M32" s="2"/>
    </row>
    <row r="33" customFormat="false" ht="15" hidden="false" customHeight="false" outlineLevel="0" collapsed="false">
      <c r="A33" s="2" t="s">
        <v>56</v>
      </c>
      <c r="B33" s="2" t="s">
        <v>14</v>
      </c>
      <c r="C33" s="2" t="s">
        <v>15</v>
      </c>
      <c r="D33" s="2" t="s">
        <v>167</v>
      </c>
      <c r="E33" s="2" t="s">
        <v>168</v>
      </c>
      <c r="F33" s="2"/>
      <c r="G33" s="2"/>
      <c r="H33" s="3"/>
      <c r="I33" s="2" t="n">
        <v>0</v>
      </c>
      <c r="J33" s="3" t="n">
        <v>63.57</v>
      </c>
      <c r="K33" s="2"/>
      <c r="L33" s="2" t="s">
        <v>174</v>
      </c>
      <c r="M33" s="2"/>
    </row>
    <row r="34" customFormat="false" ht="15" hidden="false" customHeight="false" outlineLevel="0" collapsed="false">
      <c r="A34" s="2" t="s">
        <v>80</v>
      </c>
      <c r="B34" s="2" t="s">
        <v>14</v>
      </c>
      <c r="C34" s="2" t="s">
        <v>15</v>
      </c>
      <c r="D34" s="2" t="s">
        <v>167</v>
      </c>
      <c r="E34" s="2" t="s">
        <v>168</v>
      </c>
      <c r="F34" s="2"/>
      <c r="G34" s="2"/>
      <c r="H34" s="3"/>
      <c r="I34" s="2" t="n">
        <v>0</v>
      </c>
      <c r="J34" s="3" t="n">
        <v>63.57</v>
      </c>
      <c r="K34" s="2"/>
      <c r="L34" s="2" t="s">
        <v>175</v>
      </c>
      <c r="M34" s="2"/>
    </row>
    <row r="35" customFormat="false" ht="15" hidden="false" customHeight="false" outlineLevel="0" collapsed="false">
      <c r="A35" s="2" t="s">
        <v>80</v>
      </c>
      <c r="B35" s="2" t="s">
        <v>14</v>
      </c>
      <c r="C35" s="2" t="s">
        <v>15</v>
      </c>
      <c r="D35" s="2" t="s">
        <v>161</v>
      </c>
      <c r="E35" s="2" t="s">
        <v>162</v>
      </c>
      <c r="F35" s="2"/>
      <c r="G35" s="2"/>
      <c r="H35" s="3"/>
      <c r="I35" s="2" t="n">
        <v>0</v>
      </c>
      <c r="J35" s="3" t="n">
        <v>87.41</v>
      </c>
      <c r="K35" s="2"/>
      <c r="L35" s="2"/>
      <c r="M35" s="2"/>
    </row>
    <row r="36" customFormat="false" ht="15" hidden="false" customHeight="false" outlineLevel="0" collapsed="false">
      <c r="A36" s="2" t="s">
        <v>80</v>
      </c>
      <c r="B36" s="2" t="s">
        <v>14</v>
      </c>
      <c r="C36" s="2" t="s">
        <v>15</v>
      </c>
      <c r="D36" s="2" t="s">
        <v>161</v>
      </c>
      <c r="E36" s="2" t="s">
        <v>162</v>
      </c>
      <c r="F36" s="2" t="s">
        <v>176</v>
      </c>
      <c r="G36" s="2"/>
      <c r="H36" s="3"/>
      <c r="I36" s="2" t="n">
        <v>0</v>
      </c>
      <c r="J36" s="3" t="n">
        <v>87.41</v>
      </c>
      <c r="K36" s="2"/>
      <c r="L36" s="2"/>
      <c r="M36" s="2"/>
    </row>
  </sheetData>
  <autoFilter ref="A1:M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4"/>
    <col collapsed="false" customWidth="true" hidden="false" outlineLevel="0" max="5" min="5" style="0" width="35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9</v>
      </c>
      <c r="H1" s="1" t="s">
        <v>11</v>
      </c>
      <c r="I1" s="1" t="s">
        <v>12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6" min="4" style="0" width="18"/>
    <col collapsed="false" customWidth="true" hidden="false" outlineLevel="0" max="7" min="7" style="0" width="19"/>
    <col collapsed="false" customWidth="true" hidden="false" outlineLevel="0" max="8" min="8" style="0" width="21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1" min="11" style="0" width="23"/>
    <col collapsed="false" customWidth="true" hidden="false" outlineLevel="0" max="12" min="12" style="0" width="17"/>
    <col collapsed="false" customWidth="true" hidden="false" outlineLevel="0" max="13" min="13" style="0" width="27"/>
    <col collapsed="false" customWidth="true" hidden="false" outlineLevel="0" max="17" min="14" style="0" width="14"/>
    <col collapsed="false" customWidth="true" hidden="false" outlineLevel="0" max="18" min="18" style="0" width="22"/>
    <col collapsed="false" customWidth="true" hidden="false" outlineLevel="0" max="19" min="19" style="0" width="20"/>
    <col collapsed="false" customWidth="true" hidden="false" outlineLevel="0" max="20" min="20" style="0" width="14"/>
  </cols>
  <sheetData>
    <row r="1" customFormat="false" ht="30" hidden="false" customHeight="true" outlineLevel="0" collapsed="false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11</v>
      </c>
    </row>
    <row r="2" customFormat="false" ht="15" hidden="false" customHeight="false" outlineLevel="0" collapsed="false">
      <c r="A2" s="5" t="s">
        <v>13</v>
      </c>
      <c r="B2" s="6" t="n">
        <f aca="false">SUMIFS(Commissions!D:D,Commissions!A:A,A2)</f>
        <v>738.69</v>
      </c>
      <c r="C2" s="6" t="n">
        <f aca="false">SUMIFS(Commissions!E:E,Commissions!A:A,A2)</f>
        <v>738.69</v>
      </c>
      <c r="D2" s="7" t="n">
        <f aca="false">IF(B2&lt;&gt;0,C2/B2,"")</f>
        <v>1</v>
      </c>
      <c r="E2" s="6" t="n">
        <f aca="false">SUMIFS(Commissions!E:E,Commissions!A:A,A2,Commissions!C:C,"P/L")</f>
        <v>0</v>
      </c>
      <c r="F2" s="6" t="n">
        <f aca="false">SUMIFS(Commissions!E:E,Commissions!A:A,A2,Commissions!C:C,"C/L")</f>
        <v>738.69</v>
      </c>
      <c r="G2" s="6" t="n">
        <f aca="false">SUMIFS(Commissions!E:E,Commissions!A:A,A2,Commissions!G:G,"SIAA")</f>
        <v>0</v>
      </c>
      <c r="H2" s="6" t="n">
        <f aca="false">SUMIFS(Commissions!E:E,Commissions!A:A,A2,Commissions!G:G,"Direct")</f>
        <v>0</v>
      </c>
      <c r="I2" s="6" t="n">
        <f aca="false">SUMIFS(Commissions!E:E,Commissions!A:A,A2,Commissions!G:G,"MGA/Wholesale")</f>
        <v>738.69</v>
      </c>
      <c r="J2" s="6" t="n">
        <f aca="false">SUMIFS(Commissions!E:E,Commissions!A:A,A2,Commissions!K:K,"accrued")</f>
        <v>0</v>
      </c>
      <c r="K2" s="6" t="n">
        <f aca="false">C2-J2</f>
        <v>738.69</v>
      </c>
      <c r="L2" s="6" t="n">
        <f aca="false">SUMIFS(Bonuses!D:D,Bonuses!A:A,A2)</f>
        <v>0</v>
      </c>
      <c r="M2" s="6" t="n">
        <f aca="false">K2+L2</f>
        <v>738.69</v>
      </c>
      <c r="N2" s="6" t="n">
        <v>0</v>
      </c>
      <c r="O2" s="6" t="n">
        <f aca="false">M2-N2</f>
        <v>738.69</v>
      </c>
      <c r="P2" s="7"/>
      <c r="Q2" s="7"/>
      <c r="R2" s="5" t="n">
        <f aca="false">COUNTIFS(Commissions!A:A,A2)</f>
        <v>1</v>
      </c>
      <c r="S2" s="5" t="n">
        <f aca="false">COUNTIFS(Commissions!A:A,A2,Commissions!J:J,"needs_review")</f>
        <v>0</v>
      </c>
      <c r="T2" s="5"/>
    </row>
    <row r="3" customFormat="false" ht="15" hidden="false" customHeight="false" outlineLevel="0" collapsed="false">
      <c r="A3" s="5" t="s">
        <v>21</v>
      </c>
      <c r="B3" s="6" t="n">
        <f aca="false">SUMIFS(Commissions!D:D,Commissions!A:A,A3)</f>
        <v>96007.49</v>
      </c>
      <c r="C3" s="6" t="n">
        <f aca="false">SUMIFS(Commissions!E:E,Commissions!A:A,A3)</f>
        <v>14478.11</v>
      </c>
      <c r="D3" s="7" t="n">
        <f aca="false">IF(B3&lt;&gt;0,C3/B3,"")</f>
        <v>0.150801880144976</v>
      </c>
      <c r="E3" s="6" t="n">
        <f aca="false">SUMIFS(Commissions!E:E,Commissions!A:A,A3,Commissions!C:C,"P/L")</f>
        <v>7499.14</v>
      </c>
      <c r="F3" s="6" t="n">
        <f aca="false">SUMIFS(Commissions!E:E,Commissions!A:A,A3,Commissions!C:C,"C/L")</f>
        <v>6978.97</v>
      </c>
      <c r="G3" s="6" t="n">
        <f aca="false">SUMIFS(Commissions!E:E,Commissions!A:A,A3,Commissions!G:G,"SIAA")</f>
        <v>13804.36</v>
      </c>
      <c r="H3" s="6" t="n">
        <f aca="false">SUMIFS(Commissions!E:E,Commissions!A:A,A3,Commissions!G:G,"Direct")</f>
        <v>0</v>
      </c>
      <c r="I3" s="6" t="n">
        <f aca="false">SUMIFS(Commissions!E:E,Commissions!A:A,A3,Commissions!G:G,"MGA/Wholesale")</f>
        <v>673.75</v>
      </c>
      <c r="J3" s="6" t="n">
        <f aca="false">SUMIFS(Commissions!E:E,Commissions!A:A,A3,Commissions!K:K,"accrued")</f>
        <v>0</v>
      </c>
      <c r="K3" s="6" t="n">
        <f aca="false">C3-J3</f>
        <v>14478.11</v>
      </c>
      <c r="L3" s="6" t="n">
        <f aca="false">SUMIFS(Bonuses!D:D,Bonuses!A:A,A3)</f>
        <v>0</v>
      </c>
      <c r="M3" s="6" t="n">
        <f aca="false">K3+L3</f>
        <v>14478.11</v>
      </c>
      <c r="N3" s="6" t="n">
        <v>1304.35</v>
      </c>
      <c r="O3" s="6" t="n">
        <f aca="false">M3-N3</f>
        <v>13173.76</v>
      </c>
      <c r="P3" s="7" t="n">
        <f aca="false">IF(M2&lt;&gt;0,(M3-M2)/M2,"")</f>
        <v>18.5997102979599</v>
      </c>
      <c r="Q3" s="7"/>
      <c r="R3" s="5" t="n">
        <f aca="false">COUNTIFS(Commissions!A:A,A3)</f>
        <v>10</v>
      </c>
      <c r="S3" s="5" t="n">
        <f aca="false">COUNTIFS(Commissions!A:A,A3,Commissions!J:J,"needs_review")</f>
        <v>0</v>
      </c>
      <c r="T3" s="5"/>
    </row>
    <row r="4" customFormat="false" ht="15" hidden="false" customHeight="false" outlineLevel="0" collapsed="false">
      <c r="A4" s="5" t="s">
        <v>46</v>
      </c>
      <c r="B4" s="6" t="n">
        <f aca="false">SUMIFS(Commissions!D:D,Commissions!A:A,A4)</f>
        <v>72877.73</v>
      </c>
      <c r="C4" s="6" t="n">
        <f aca="false">SUMIFS(Commissions!E:E,Commissions!A:A,A4)</f>
        <v>7634.63</v>
      </c>
      <c r="D4" s="7" t="n">
        <f aca="false">IF(B4&lt;&gt;0,C4/B4,"")</f>
        <v>0.104759437485224</v>
      </c>
      <c r="E4" s="6" t="n">
        <f aca="false">SUMIFS(Commissions!E:E,Commissions!A:A,A4,Commissions!C:C,"P/L")</f>
        <v>3497.59</v>
      </c>
      <c r="F4" s="6" t="n">
        <f aca="false">SUMIFS(Commissions!E:E,Commissions!A:A,A4,Commissions!C:C,"C/L")</f>
        <v>4137.04</v>
      </c>
      <c r="G4" s="6" t="n">
        <f aca="false">SUMIFS(Commissions!E:E,Commissions!A:A,A4,Commissions!G:G,"SIAA")</f>
        <v>7483.65</v>
      </c>
      <c r="H4" s="6" t="n">
        <f aca="false">SUMIFS(Commissions!E:E,Commissions!A:A,A4,Commissions!G:G,"Direct")</f>
        <v>0</v>
      </c>
      <c r="I4" s="6" t="n">
        <f aca="false">SUMIFS(Commissions!E:E,Commissions!A:A,A4,Commissions!G:G,"MGA/Wholesale")</f>
        <v>150.98</v>
      </c>
      <c r="J4" s="6" t="n">
        <f aca="false">SUMIFS(Commissions!E:E,Commissions!A:A,A4,Commissions!K:K,"accrued")</f>
        <v>0</v>
      </c>
      <c r="K4" s="6" t="n">
        <f aca="false">C4-J4</f>
        <v>7634.63</v>
      </c>
      <c r="L4" s="6" t="n">
        <f aca="false">SUMIFS(Bonuses!D:D,Bonuses!A:A,A4)</f>
        <v>0</v>
      </c>
      <c r="M4" s="6" t="n">
        <f aca="false">K4+L4</f>
        <v>7634.63</v>
      </c>
      <c r="N4" s="6" t="n">
        <v>748.37</v>
      </c>
      <c r="O4" s="6" t="n">
        <f aca="false">M4-N4</f>
        <v>6886.26</v>
      </c>
      <c r="P4" s="7" t="n">
        <f aca="false">IF(M3&lt;&gt;0,(M4-M3)/M3,"")</f>
        <v>-0.472677718293341</v>
      </c>
      <c r="Q4" s="7"/>
      <c r="R4" s="5" t="n">
        <f aca="false">COUNTIFS(Commissions!A:A,A4)</f>
        <v>10</v>
      </c>
      <c r="S4" s="5" t="n">
        <f aca="false">COUNTIFS(Commissions!A:A,A4,Commissions!J:J,"needs_review")</f>
        <v>0</v>
      </c>
      <c r="T4" s="5"/>
    </row>
    <row r="5" customFormat="false" ht="15" hidden="false" customHeight="false" outlineLevel="0" collapsed="false">
      <c r="A5" s="5" t="s">
        <v>56</v>
      </c>
      <c r="B5" s="6" t="n">
        <f aca="false">SUMIFS(Commissions!D:D,Commissions!A:A,A5)</f>
        <v>76612.11</v>
      </c>
      <c r="C5" s="6" t="n">
        <f aca="false">SUMIFS(Commissions!E:E,Commissions!A:A,A5)</f>
        <v>12292.62</v>
      </c>
      <c r="D5" s="7" t="n">
        <f aca="false">IF(B5&lt;&gt;0,C5/B5,"")</f>
        <v>0.1604527012766</v>
      </c>
      <c r="E5" s="6" t="n">
        <f aca="false">SUMIFS(Commissions!E:E,Commissions!A:A,A5,Commissions!C:C,"P/L")</f>
        <v>5169.55</v>
      </c>
      <c r="F5" s="6" t="n">
        <f aca="false">SUMIFS(Commissions!E:E,Commissions!A:A,A5,Commissions!C:C,"C/L")</f>
        <v>7123.07</v>
      </c>
      <c r="G5" s="6" t="n">
        <f aca="false">SUMIFS(Commissions!E:E,Commissions!A:A,A5,Commissions!G:G,"SIAA")</f>
        <v>6469.9</v>
      </c>
      <c r="H5" s="6" t="n">
        <f aca="false">SUMIFS(Commissions!E:E,Commissions!A:A,A5,Commissions!G:G,"Direct")</f>
        <v>1024.95</v>
      </c>
      <c r="I5" s="6" t="n">
        <f aca="false">SUMIFS(Commissions!E:E,Commissions!A:A,A5,Commissions!G:G,"MGA/Wholesale")</f>
        <v>4797.77</v>
      </c>
      <c r="J5" s="6" t="n">
        <f aca="false">SUMIFS(Commissions!E:E,Commissions!A:A,A5,Commissions!K:K,"accrued")</f>
        <v>4734.2</v>
      </c>
      <c r="K5" s="6" t="n">
        <f aca="false">C5-J5</f>
        <v>7558.42</v>
      </c>
      <c r="L5" s="6" t="n">
        <f aca="false">SUMIFS(Bonuses!D:D,Bonuses!A:A,A5)</f>
        <v>0</v>
      </c>
      <c r="M5" s="6" t="n">
        <f aca="false">K5+L5</f>
        <v>7558.42</v>
      </c>
      <c r="N5" s="6" t="n">
        <v>0</v>
      </c>
      <c r="O5" s="6" t="n">
        <f aca="false">M5-N5</f>
        <v>7558.42</v>
      </c>
      <c r="P5" s="7" t="n">
        <f aca="false">IF(M4&lt;&gt;0,(M5-M4)/M4,"")</f>
        <v>-0.00998214713745121</v>
      </c>
      <c r="Q5" s="7"/>
      <c r="R5" s="5" t="n">
        <f aca="false">COUNTIFS(Commissions!A:A,A5)</f>
        <v>11</v>
      </c>
      <c r="S5" s="5" t="n">
        <f aca="false">COUNTIFS(Commissions!A:A,A5,Commissions!J:J,"needs_review")</f>
        <v>0</v>
      </c>
      <c r="T5" s="5"/>
    </row>
    <row r="6" customFormat="false" ht="15" hidden="false" customHeight="false" outlineLevel="0" collapsed="false">
      <c r="A6" s="5" t="s">
        <v>80</v>
      </c>
      <c r="B6" s="6" t="n">
        <f aca="false">SUMIFS(Commissions!D:D,Commissions!A:A,A6)</f>
        <v>238.39</v>
      </c>
      <c r="C6" s="6" t="n">
        <f aca="false">SUMIFS(Commissions!E:E,Commissions!A:A,A6)</f>
        <v>238.39</v>
      </c>
      <c r="D6" s="7" t="n">
        <f aca="false">IF(B6&lt;&gt;0,C6/B6,"")</f>
        <v>1</v>
      </c>
      <c r="E6" s="6" t="n">
        <f aca="false">SUMIFS(Commissions!E:E,Commissions!A:A,A6,Commissions!C:C,"P/L")</f>
        <v>0</v>
      </c>
      <c r="F6" s="6" t="n">
        <f aca="false">SUMIFS(Commissions!E:E,Commissions!A:A,A6,Commissions!C:C,"C/L")</f>
        <v>238.39</v>
      </c>
      <c r="G6" s="6" t="n">
        <f aca="false">SUMIFS(Commissions!E:E,Commissions!A:A,A6,Commissions!G:G,"SIAA")</f>
        <v>0</v>
      </c>
      <c r="H6" s="6" t="n">
        <f aca="false">SUMIFS(Commissions!E:E,Commissions!A:A,A6,Commissions!G:G,"Direct")</f>
        <v>0</v>
      </c>
      <c r="I6" s="6" t="n">
        <f aca="false">SUMIFS(Commissions!E:E,Commissions!A:A,A6,Commissions!G:G,"MGA/Wholesale")</f>
        <v>238.39</v>
      </c>
      <c r="J6" s="6" t="n">
        <f aca="false">SUMIFS(Commissions!E:E,Commissions!A:A,A6,Commissions!K:K,"accrued")</f>
        <v>0</v>
      </c>
      <c r="K6" s="6" t="n">
        <f aca="false">C6-J6</f>
        <v>238.39</v>
      </c>
      <c r="L6" s="6" t="n">
        <f aca="false">SUMIFS(Bonuses!D:D,Bonuses!A:A,A6)</f>
        <v>0</v>
      </c>
      <c r="M6" s="6" t="n">
        <f aca="false">K6+L6</f>
        <v>238.39</v>
      </c>
      <c r="N6" s="6" t="n">
        <v>0</v>
      </c>
      <c r="O6" s="6" t="n">
        <f aca="false">M6-N6</f>
        <v>238.39</v>
      </c>
      <c r="P6" s="7" t="n">
        <f aca="false">IF(M5&lt;&gt;0,(M6-M5)/M5,"")</f>
        <v>-0.968460339594783</v>
      </c>
      <c r="Q6" s="7"/>
      <c r="R6" s="5" t="n">
        <f aca="false">COUNTIFS(Commissions!A:A,A6)</f>
        <v>1</v>
      </c>
      <c r="S6" s="5" t="n">
        <f aca="false">COUNTIFS(Commissions!A:A,A6,Commissions!J:J,"needs_review")</f>
        <v>0</v>
      </c>
      <c r="T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3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8" t="s">
        <v>1</v>
      </c>
      <c r="B1" s="9" t="s">
        <v>13</v>
      </c>
      <c r="C1" s="9" t="s">
        <v>21</v>
      </c>
      <c r="D1" s="9" t="s">
        <v>46</v>
      </c>
      <c r="E1" s="9" t="s">
        <v>56</v>
      </c>
      <c r="F1" s="9" t="s">
        <v>80</v>
      </c>
      <c r="G1" s="9" t="s">
        <v>202</v>
      </c>
      <c r="H1" s="9" t="s">
        <v>203</v>
      </c>
      <c r="I1" s="9" t="s">
        <v>204</v>
      </c>
      <c r="J1" s="9" t="s">
        <v>205</v>
      </c>
      <c r="K1" s="9" t="s">
        <v>206</v>
      </c>
      <c r="L1" s="9" t="s">
        <v>207</v>
      </c>
      <c r="M1" s="9" t="s">
        <v>208</v>
      </c>
      <c r="N1" s="9" t="s">
        <v>209</v>
      </c>
      <c r="O1" s="8" t="s">
        <v>210</v>
      </c>
    </row>
    <row r="2" customFormat="false" ht="15" hidden="false" customHeight="false" outlineLevel="0" collapsed="false">
      <c r="A2" s="5" t="s">
        <v>43</v>
      </c>
      <c r="B2" s="6" t="n">
        <f aca="false">SUMIFS(Commissions!E:E,Commissions!A:A,B$1,Commissions!B:B,$A2)</f>
        <v>0</v>
      </c>
      <c r="C2" s="6" t="n">
        <f aca="false">SUMIFS(Commissions!E:E,Commissions!A:A,C$1,Commissions!B:B,$A2)</f>
        <v>965.68</v>
      </c>
      <c r="D2" s="6" t="n">
        <f aca="false">SUMIFS(Commissions!E:E,Commissions!A:A,D$1,Commissions!B:B,$A2)</f>
        <v>538.5</v>
      </c>
      <c r="E2" s="6" t="n">
        <f aca="false">SUMIFS(Commissions!E:E,Commissions!A:A,E$1,Commissions!B:B,$A2)</f>
        <v>0</v>
      </c>
      <c r="F2" s="6" t="n">
        <f aca="false">SUMIFS(Commissions!E:E,Commissions!A:A,F$1,Commissions!B:B,$A2)</f>
        <v>0</v>
      </c>
      <c r="G2" s="6" t="n">
        <f aca="false">SUMIFS(Commissions!E:E,Commissions!A:A,G$1,Commissions!B:B,$A2)</f>
        <v>0</v>
      </c>
      <c r="H2" s="6" t="n">
        <f aca="false">SUMIFS(Commissions!E:E,Commissions!A:A,H$1,Commissions!B:B,$A2)</f>
        <v>0</v>
      </c>
      <c r="I2" s="6" t="n">
        <f aca="false">SUMIFS(Commissions!E:E,Commissions!A:A,I$1,Commissions!B:B,$A2)</f>
        <v>0</v>
      </c>
      <c r="J2" s="6" t="n">
        <f aca="false">SUMIFS(Commissions!E:E,Commissions!A:A,J$1,Commissions!B:B,$A2)</f>
        <v>0</v>
      </c>
      <c r="K2" s="6" t="n">
        <f aca="false">SUMIFS(Commissions!E:E,Commissions!A:A,K$1,Commissions!B:B,$A2)</f>
        <v>0</v>
      </c>
      <c r="L2" s="6" t="n">
        <f aca="false">SUMIFS(Commissions!E:E,Commissions!A:A,L$1,Commissions!B:B,$A2)</f>
        <v>0</v>
      </c>
      <c r="M2" s="6" t="n">
        <f aca="false">SUMIFS(Commissions!E:E,Commissions!A:A,M$1,Commissions!B:B,$A2)</f>
        <v>0</v>
      </c>
      <c r="N2" s="6" t="n">
        <f aca="false">SUMIFS(Commissions!E:E,Commissions!A:A,N$1,Commissions!B:B,$A2)</f>
        <v>0</v>
      </c>
      <c r="O2" s="10" t="n">
        <f aca="false">SUM(B2:N2)</f>
        <v>1504.18</v>
      </c>
    </row>
    <row r="3" customFormat="false" ht="15" hidden="false" customHeight="false" outlineLevel="0" collapsed="false">
      <c r="A3" s="5" t="s">
        <v>76</v>
      </c>
      <c r="B3" s="6" t="n">
        <f aca="false">SUMIFS(Commissions!E:E,Commissions!A:A,B$1,Commissions!B:B,$A3)</f>
        <v>0</v>
      </c>
      <c r="C3" s="6" t="n">
        <f aca="false">SUMIFS(Commissions!E:E,Commissions!A:A,C$1,Commissions!B:B,$A3)</f>
        <v>0</v>
      </c>
      <c r="D3" s="6" t="n">
        <f aca="false">SUMIFS(Commissions!E:E,Commissions!A:A,D$1,Commissions!B:B,$A3)</f>
        <v>0</v>
      </c>
      <c r="E3" s="6" t="n">
        <f aca="false">SUMIFS(Commissions!E:E,Commissions!A:A,E$1,Commissions!B:B,$A3)</f>
        <v>4734.2</v>
      </c>
      <c r="F3" s="6" t="n">
        <f aca="false">SUMIFS(Commissions!E:E,Commissions!A:A,F$1,Commissions!B:B,$A3)</f>
        <v>0</v>
      </c>
      <c r="G3" s="6" t="n">
        <f aca="false">SUMIFS(Commissions!E:E,Commissions!A:A,G$1,Commissions!B:B,$A3)</f>
        <v>0</v>
      </c>
      <c r="H3" s="6" t="n">
        <f aca="false">SUMIFS(Commissions!E:E,Commissions!A:A,H$1,Commissions!B:B,$A3)</f>
        <v>0</v>
      </c>
      <c r="I3" s="6" t="n">
        <f aca="false">SUMIFS(Commissions!E:E,Commissions!A:A,I$1,Commissions!B:B,$A3)</f>
        <v>0</v>
      </c>
      <c r="J3" s="6" t="n">
        <f aca="false">SUMIFS(Commissions!E:E,Commissions!A:A,J$1,Commissions!B:B,$A3)</f>
        <v>0</v>
      </c>
      <c r="K3" s="6" t="n">
        <f aca="false">SUMIFS(Commissions!E:E,Commissions!A:A,K$1,Commissions!B:B,$A3)</f>
        <v>0</v>
      </c>
      <c r="L3" s="6" t="n">
        <f aca="false">SUMIFS(Commissions!E:E,Commissions!A:A,L$1,Commissions!B:B,$A3)</f>
        <v>0</v>
      </c>
      <c r="M3" s="6" t="n">
        <f aca="false">SUMIFS(Commissions!E:E,Commissions!A:A,M$1,Commissions!B:B,$A3)</f>
        <v>0</v>
      </c>
      <c r="N3" s="6" t="n">
        <f aca="false">SUMIFS(Commissions!E:E,Commissions!A:A,N$1,Commissions!B:B,$A3)</f>
        <v>0</v>
      </c>
      <c r="O3" s="10" t="n">
        <f aca="false">SUM(B3:N3)</f>
        <v>4734.2</v>
      </c>
    </row>
    <row r="4" customFormat="false" ht="15" hidden="false" customHeight="false" outlineLevel="0" collapsed="false">
      <c r="A4" s="5" t="s">
        <v>31</v>
      </c>
      <c r="B4" s="6" t="n">
        <f aca="false">SUMIFS(Commissions!E:E,Commissions!A:A,B$1,Commissions!B:B,$A4)</f>
        <v>0</v>
      </c>
      <c r="C4" s="6" t="n">
        <f aca="false">SUMIFS(Commissions!E:E,Commissions!A:A,C$1,Commissions!B:B,$A4)</f>
        <v>1883.42</v>
      </c>
      <c r="D4" s="6" t="n">
        <f aca="false">SUMIFS(Commissions!E:E,Commissions!A:A,D$1,Commissions!B:B,$A4)</f>
        <v>2.76</v>
      </c>
      <c r="E4" s="6" t="n">
        <f aca="false">SUMIFS(Commissions!E:E,Commissions!A:A,E$1,Commissions!B:B,$A4)</f>
        <v>639.82</v>
      </c>
      <c r="F4" s="6" t="n">
        <f aca="false">SUMIFS(Commissions!E:E,Commissions!A:A,F$1,Commissions!B:B,$A4)</f>
        <v>0</v>
      </c>
      <c r="G4" s="6" t="n">
        <f aca="false">SUMIFS(Commissions!E:E,Commissions!A:A,G$1,Commissions!B:B,$A4)</f>
        <v>0</v>
      </c>
      <c r="H4" s="6" t="n">
        <f aca="false">SUMIFS(Commissions!E:E,Commissions!A:A,H$1,Commissions!B:B,$A4)</f>
        <v>0</v>
      </c>
      <c r="I4" s="6" t="n">
        <f aca="false">SUMIFS(Commissions!E:E,Commissions!A:A,I$1,Commissions!B:B,$A4)</f>
        <v>0</v>
      </c>
      <c r="J4" s="6" t="n">
        <f aca="false">SUMIFS(Commissions!E:E,Commissions!A:A,J$1,Commissions!B:B,$A4)</f>
        <v>0</v>
      </c>
      <c r="K4" s="6" t="n">
        <f aca="false">SUMIFS(Commissions!E:E,Commissions!A:A,K$1,Commissions!B:B,$A4)</f>
        <v>0</v>
      </c>
      <c r="L4" s="6" t="n">
        <f aca="false">SUMIFS(Commissions!E:E,Commissions!A:A,L$1,Commissions!B:B,$A4)</f>
        <v>0</v>
      </c>
      <c r="M4" s="6" t="n">
        <f aca="false">SUMIFS(Commissions!E:E,Commissions!A:A,M$1,Commissions!B:B,$A4)</f>
        <v>0</v>
      </c>
      <c r="N4" s="6" t="n">
        <f aca="false">SUMIFS(Commissions!E:E,Commissions!A:A,N$1,Commissions!B:B,$A4)</f>
        <v>0</v>
      </c>
      <c r="O4" s="10" t="n">
        <f aca="false">SUM(B4:N4)</f>
        <v>2526</v>
      </c>
    </row>
    <row r="5" customFormat="false" ht="15" hidden="false" customHeight="false" outlineLevel="0" collapsed="false">
      <c r="A5" s="5" t="s">
        <v>22</v>
      </c>
      <c r="B5" s="6" t="n">
        <f aca="false">SUMIFS(Commissions!E:E,Commissions!A:A,B$1,Commissions!B:B,$A5)</f>
        <v>0</v>
      </c>
      <c r="C5" s="6" t="n">
        <f aca="false">SUMIFS(Commissions!E:E,Commissions!A:A,C$1,Commissions!B:B,$A5)</f>
        <v>2601.98</v>
      </c>
      <c r="D5" s="6" t="n">
        <f aca="false">SUMIFS(Commissions!E:E,Commissions!A:A,D$1,Commissions!B:B,$A5)</f>
        <v>235.34</v>
      </c>
      <c r="E5" s="6" t="n">
        <f aca="false">SUMIFS(Commissions!E:E,Commissions!A:A,E$1,Commissions!B:B,$A5)</f>
        <v>30.38</v>
      </c>
      <c r="F5" s="6" t="n">
        <f aca="false">SUMIFS(Commissions!E:E,Commissions!A:A,F$1,Commissions!B:B,$A5)</f>
        <v>0</v>
      </c>
      <c r="G5" s="6" t="n">
        <f aca="false">SUMIFS(Commissions!E:E,Commissions!A:A,G$1,Commissions!B:B,$A5)</f>
        <v>0</v>
      </c>
      <c r="H5" s="6" t="n">
        <f aca="false">SUMIFS(Commissions!E:E,Commissions!A:A,H$1,Commissions!B:B,$A5)</f>
        <v>0</v>
      </c>
      <c r="I5" s="6" t="n">
        <f aca="false">SUMIFS(Commissions!E:E,Commissions!A:A,I$1,Commissions!B:B,$A5)</f>
        <v>0</v>
      </c>
      <c r="J5" s="6" t="n">
        <f aca="false">SUMIFS(Commissions!E:E,Commissions!A:A,J$1,Commissions!B:B,$A5)</f>
        <v>0</v>
      </c>
      <c r="K5" s="6" t="n">
        <f aca="false">SUMIFS(Commissions!E:E,Commissions!A:A,K$1,Commissions!B:B,$A5)</f>
        <v>0</v>
      </c>
      <c r="L5" s="6" t="n">
        <f aca="false">SUMIFS(Commissions!E:E,Commissions!A:A,L$1,Commissions!B:B,$A5)</f>
        <v>0</v>
      </c>
      <c r="M5" s="6" t="n">
        <f aca="false">SUMIFS(Commissions!E:E,Commissions!A:A,M$1,Commissions!B:B,$A5)</f>
        <v>0</v>
      </c>
      <c r="N5" s="6" t="n">
        <f aca="false">SUMIFS(Commissions!E:E,Commissions!A:A,N$1,Commissions!B:B,$A5)</f>
        <v>0</v>
      </c>
      <c r="O5" s="10" t="n">
        <f aca="false">SUM(B5:N5)</f>
        <v>2867.7</v>
      </c>
    </row>
    <row r="6" customFormat="false" ht="15" hidden="false" customHeight="false" outlineLevel="0" collapsed="false">
      <c r="A6" s="5" t="s">
        <v>38</v>
      </c>
      <c r="B6" s="6" t="n">
        <f aca="false">SUMIFS(Commissions!E:E,Commissions!A:A,B$1,Commissions!B:B,$A6)</f>
        <v>0</v>
      </c>
      <c r="C6" s="6" t="n">
        <f aca="false">SUMIFS(Commissions!E:E,Commissions!A:A,C$1,Commissions!B:B,$A6)</f>
        <v>-22.56</v>
      </c>
      <c r="D6" s="6" t="n">
        <f aca="false">SUMIFS(Commissions!E:E,Commissions!A:A,D$1,Commissions!B:B,$A6)</f>
        <v>66.39</v>
      </c>
      <c r="E6" s="6" t="n">
        <f aca="false">SUMIFS(Commissions!E:E,Commissions!A:A,E$1,Commissions!B:B,$A6)</f>
        <v>34.1</v>
      </c>
      <c r="F6" s="6" t="n">
        <f aca="false">SUMIFS(Commissions!E:E,Commissions!A:A,F$1,Commissions!B:B,$A6)</f>
        <v>0</v>
      </c>
      <c r="G6" s="6" t="n">
        <f aca="false">SUMIFS(Commissions!E:E,Commissions!A:A,G$1,Commissions!B:B,$A6)</f>
        <v>0</v>
      </c>
      <c r="H6" s="6" t="n">
        <f aca="false">SUMIFS(Commissions!E:E,Commissions!A:A,H$1,Commissions!B:B,$A6)</f>
        <v>0</v>
      </c>
      <c r="I6" s="6" t="n">
        <f aca="false">SUMIFS(Commissions!E:E,Commissions!A:A,I$1,Commissions!B:B,$A6)</f>
        <v>0</v>
      </c>
      <c r="J6" s="6" t="n">
        <f aca="false">SUMIFS(Commissions!E:E,Commissions!A:A,J$1,Commissions!B:B,$A6)</f>
        <v>0</v>
      </c>
      <c r="K6" s="6" t="n">
        <f aca="false">SUMIFS(Commissions!E:E,Commissions!A:A,K$1,Commissions!B:B,$A6)</f>
        <v>0</v>
      </c>
      <c r="L6" s="6" t="n">
        <f aca="false">SUMIFS(Commissions!E:E,Commissions!A:A,L$1,Commissions!B:B,$A6)</f>
        <v>0</v>
      </c>
      <c r="M6" s="6" t="n">
        <f aca="false">SUMIFS(Commissions!E:E,Commissions!A:A,M$1,Commissions!B:B,$A6)</f>
        <v>0</v>
      </c>
      <c r="N6" s="6" t="n">
        <f aca="false">SUMIFS(Commissions!E:E,Commissions!A:A,N$1,Commissions!B:B,$A6)</f>
        <v>0</v>
      </c>
      <c r="O6" s="10" t="n">
        <f aca="false">SUM(B6:N6)</f>
        <v>77.93</v>
      </c>
    </row>
    <row r="7" customFormat="false" ht="15" hidden="false" customHeight="false" outlineLevel="0" collapsed="false">
      <c r="A7" s="5" t="s">
        <v>14</v>
      </c>
      <c r="B7" s="6" t="n">
        <f aca="false">SUMIFS(Commissions!E:E,Commissions!A:A,B$1,Commissions!B:B,$A7)</f>
        <v>738.69</v>
      </c>
      <c r="C7" s="6" t="n">
        <f aca="false">SUMIFS(Commissions!E:E,Commissions!A:A,C$1,Commissions!B:B,$A7)</f>
        <v>673.75</v>
      </c>
      <c r="D7" s="6" t="n">
        <f aca="false">SUMIFS(Commissions!E:E,Commissions!A:A,D$1,Commissions!B:B,$A7)</f>
        <v>150.98</v>
      </c>
      <c r="E7" s="6" t="n">
        <f aca="false">SUMIFS(Commissions!E:E,Commissions!A:A,E$1,Commissions!B:B,$A7)</f>
        <v>63.57</v>
      </c>
      <c r="F7" s="6" t="n">
        <f aca="false">SUMIFS(Commissions!E:E,Commissions!A:A,F$1,Commissions!B:B,$A7)</f>
        <v>238.39</v>
      </c>
      <c r="G7" s="6" t="n">
        <f aca="false">SUMIFS(Commissions!E:E,Commissions!A:A,G$1,Commissions!B:B,$A7)</f>
        <v>0</v>
      </c>
      <c r="H7" s="6" t="n">
        <f aca="false">SUMIFS(Commissions!E:E,Commissions!A:A,H$1,Commissions!B:B,$A7)</f>
        <v>0</v>
      </c>
      <c r="I7" s="6" t="n">
        <f aca="false">SUMIFS(Commissions!E:E,Commissions!A:A,I$1,Commissions!B:B,$A7)</f>
        <v>0</v>
      </c>
      <c r="J7" s="6" t="n">
        <f aca="false">SUMIFS(Commissions!E:E,Commissions!A:A,J$1,Commissions!B:B,$A7)</f>
        <v>0</v>
      </c>
      <c r="K7" s="6" t="n">
        <f aca="false">SUMIFS(Commissions!E:E,Commissions!A:A,K$1,Commissions!B:B,$A7)</f>
        <v>0</v>
      </c>
      <c r="L7" s="6" t="n">
        <f aca="false">SUMIFS(Commissions!E:E,Commissions!A:A,L$1,Commissions!B:B,$A7)</f>
        <v>0</v>
      </c>
      <c r="M7" s="6" t="n">
        <f aca="false">SUMIFS(Commissions!E:E,Commissions!A:A,M$1,Commissions!B:B,$A7)</f>
        <v>0</v>
      </c>
      <c r="N7" s="6" t="n">
        <f aca="false">SUMIFS(Commissions!E:E,Commissions!A:A,N$1,Commissions!B:B,$A7)</f>
        <v>0</v>
      </c>
      <c r="O7" s="10" t="n">
        <f aca="false">SUM(B7:N7)</f>
        <v>1865.38</v>
      </c>
    </row>
    <row r="8" customFormat="false" ht="15" hidden="false" customHeight="false" outlineLevel="0" collapsed="false">
      <c r="A8" s="5" t="s">
        <v>36</v>
      </c>
      <c r="B8" s="6" t="n">
        <f aca="false">SUMIFS(Commissions!E:E,Commissions!A:A,B$1,Commissions!B:B,$A8)</f>
        <v>0</v>
      </c>
      <c r="C8" s="6" t="n">
        <f aca="false">SUMIFS(Commissions!E:E,Commissions!A:A,C$1,Commissions!B:B,$A8)</f>
        <v>78.48</v>
      </c>
      <c r="D8" s="6" t="n">
        <f aca="false">SUMIFS(Commissions!E:E,Commissions!A:A,D$1,Commissions!B:B,$A8)</f>
        <v>196.51</v>
      </c>
      <c r="E8" s="6" t="n">
        <f aca="false">SUMIFS(Commissions!E:E,Commissions!A:A,E$1,Commissions!B:B,$A8)</f>
        <v>131.73</v>
      </c>
      <c r="F8" s="6" t="n">
        <f aca="false">SUMIFS(Commissions!E:E,Commissions!A:A,F$1,Commissions!B:B,$A8)</f>
        <v>0</v>
      </c>
      <c r="G8" s="6" t="n">
        <f aca="false">SUMIFS(Commissions!E:E,Commissions!A:A,G$1,Commissions!B:B,$A8)</f>
        <v>0</v>
      </c>
      <c r="H8" s="6" t="n">
        <f aca="false">SUMIFS(Commissions!E:E,Commissions!A:A,H$1,Commissions!B:B,$A8)</f>
        <v>0</v>
      </c>
      <c r="I8" s="6" t="n">
        <f aca="false">SUMIFS(Commissions!E:E,Commissions!A:A,I$1,Commissions!B:B,$A8)</f>
        <v>0</v>
      </c>
      <c r="J8" s="6" t="n">
        <f aca="false">SUMIFS(Commissions!E:E,Commissions!A:A,J$1,Commissions!B:B,$A8)</f>
        <v>0</v>
      </c>
      <c r="K8" s="6" t="n">
        <f aca="false">SUMIFS(Commissions!E:E,Commissions!A:A,K$1,Commissions!B:B,$A8)</f>
        <v>0</v>
      </c>
      <c r="L8" s="6" t="n">
        <f aca="false">SUMIFS(Commissions!E:E,Commissions!A:A,L$1,Commissions!B:B,$A8)</f>
        <v>0</v>
      </c>
      <c r="M8" s="6" t="n">
        <f aca="false">SUMIFS(Commissions!E:E,Commissions!A:A,M$1,Commissions!B:B,$A8)</f>
        <v>0</v>
      </c>
      <c r="N8" s="6" t="n">
        <f aca="false">SUMIFS(Commissions!E:E,Commissions!A:A,N$1,Commissions!B:B,$A8)</f>
        <v>0</v>
      </c>
      <c r="O8" s="10" t="n">
        <f aca="false">SUM(B8:N8)</f>
        <v>406.72</v>
      </c>
    </row>
    <row r="9" customFormat="false" ht="15" hidden="false" customHeight="false" outlineLevel="0" collapsed="false">
      <c r="A9" s="5" t="s">
        <v>34</v>
      </c>
      <c r="B9" s="6" t="n">
        <f aca="false">SUMIFS(Commissions!E:E,Commissions!A:A,B$1,Commissions!B:B,$A9)</f>
        <v>0</v>
      </c>
      <c r="C9" s="6" t="n">
        <f aca="false">SUMIFS(Commissions!E:E,Commissions!A:A,C$1,Commissions!B:B,$A9)</f>
        <v>843.15</v>
      </c>
      <c r="D9" s="6" t="n">
        <f aca="false">SUMIFS(Commissions!E:E,Commissions!A:A,D$1,Commissions!B:B,$A9)</f>
        <v>1234.54</v>
      </c>
      <c r="E9" s="6" t="n">
        <f aca="false">SUMIFS(Commissions!E:E,Commissions!A:A,E$1,Commissions!B:B,$A9)</f>
        <v>229.61</v>
      </c>
      <c r="F9" s="6" t="n">
        <f aca="false">SUMIFS(Commissions!E:E,Commissions!A:A,F$1,Commissions!B:B,$A9)</f>
        <v>0</v>
      </c>
      <c r="G9" s="6" t="n">
        <f aca="false">SUMIFS(Commissions!E:E,Commissions!A:A,G$1,Commissions!B:B,$A9)</f>
        <v>0</v>
      </c>
      <c r="H9" s="6" t="n">
        <f aca="false">SUMIFS(Commissions!E:E,Commissions!A:A,H$1,Commissions!B:B,$A9)</f>
        <v>0</v>
      </c>
      <c r="I9" s="6" t="n">
        <f aca="false">SUMIFS(Commissions!E:E,Commissions!A:A,I$1,Commissions!B:B,$A9)</f>
        <v>0</v>
      </c>
      <c r="J9" s="6" t="n">
        <f aca="false">SUMIFS(Commissions!E:E,Commissions!A:A,J$1,Commissions!B:B,$A9)</f>
        <v>0</v>
      </c>
      <c r="K9" s="6" t="n">
        <f aca="false">SUMIFS(Commissions!E:E,Commissions!A:A,K$1,Commissions!B:B,$A9)</f>
        <v>0</v>
      </c>
      <c r="L9" s="6" t="n">
        <f aca="false">SUMIFS(Commissions!E:E,Commissions!A:A,L$1,Commissions!B:B,$A9)</f>
        <v>0</v>
      </c>
      <c r="M9" s="6" t="n">
        <f aca="false">SUMIFS(Commissions!E:E,Commissions!A:A,M$1,Commissions!B:B,$A9)</f>
        <v>0</v>
      </c>
      <c r="N9" s="6" t="n">
        <f aca="false">SUMIFS(Commissions!E:E,Commissions!A:A,N$1,Commissions!B:B,$A9)</f>
        <v>0</v>
      </c>
      <c r="O9" s="10" t="n">
        <f aca="false">SUM(B9:N9)</f>
        <v>2307.3</v>
      </c>
    </row>
    <row r="10" customFormat="false" ht="15" hidden="false" customHeight="false" outlineLevel="0" collapsed="false">
      <c r="A10" s="5" t="s">
        <v>54</v>
      </c>
      <c r="B10" s="6" t="n">
        <f aca="false">SUMIFS(Commissions!E:E,Commissions!A:A,B$1,Commissions!B:B,$A10)</f>
        <v>0</v>
      </c>
      <c r="C10" s="6" t="n">
        <f aca="false">SUMIFS(Commissions!E:E,Commissions!A:A,C$1,Commissions!B:B,$A10)</f>
        <v>0</v>
      </c>
      <c r="D10" s="6" t="n">
        <f aca="false">SUMIFS(Commissions!E:E,Commissions!A:A,D$1,Commissions!B:B,$A10)</f>
        <v>356.7</v>
      </c>
      <c r="E10" s="6" t="n">
        <f aca="false">SUMIFS(Commissions!E:E,Commissions!A:A,E$1,Commissions!B:B,$A10)</f>
        <v>0</v>
      </c>
      <c r="F10" s="6" t="n">
        <f aca="false">SUMIFS(Commissions!E:E,Commissions!A:A,F$1,Commissions!B:B,$A10)</f>
        <v>0</v>
      </c>
      <c r="G10" s="6" t="n">
        <f aca="false">SUMIFS(Commissions!E:E,Commissions!A:A,G$1,Commissions!B:B,$A10)</f>
        <v>0</v>
      </c>
      <c r="H10" s="6" t="n">
        <f aca="false">SUMIFS(Commissions!E:E,Commissions!A:A,H$1,Commissions!B:B,$A10)</f>
        <v>0</v>
      </c>
      <c r="I10" s="6" t="n">
        <f aca="false">SUMIFS(Commissions!E:E,Commissions!A:A,I$1,Commissions!B:B,$A10)</f>
        <v>0</v>
      </c>
      <c r="J10" s="6" t="n">
        <f aca="false">SUMIFS(Commissions!E:E,Commissions!A:A,J$1,Commissions!B:B,$A10)</f>
        <v>0</v>
      </c>
      <c r="K10" s="6" t="n">
        <f aca="false">SUMIFS(Commissions!E:E,Commissions!A:A,K$1,Commissions!B:B,$A10)</f>
        <v>0</v>
      </c>
      <c r="L10" s="6" t="n">
        <f aca="false">SUMIFS(Commissions!E:E,Commissions!A:A,L$1,Commissions!B:B,$A10)</f>
        <v>0</v>
      </c>
      <c r="M10" s="6" t="n">
        <f aca="false">SUMIFS(Commissions!E:E,Commissions!A:A,M$1,Commissions!B:B,$A10)</f>
        <v>0</v>
      </c>
      <c r="N10" s="6" t="n">
        <f aca="false">SUMIFS(Commissions!E:E,Commissions!A:A,N$1,Commissions!B:B,$A10)</f>
        <v>0</v>
      </c>
      <c r="O10" s="10" t="n">
        <f aca="false">SUM(B10:N10)</f>
        <v>356.7</v>
      </c>
    </row>
    <row r="11" customFormat="false" ht="15" hidden="false" customHeight="false" outlineLevel="0" collapsed="false">
      <c r="A11" s="5" t="s">
        <v>41</v>
      </c>
      <c r="B11" s="6" t="n">
        <f aca="false">SUMIFS(Commissions!E:E,Commissions!A:A,B$1,Commissions!B:B,$A11)</f>
        <v>0</v>
      </c>
      <c r="C11" s="6" t="n">
        <f aca="false">SUMIFS(Commissions!E:E,Commissions!A:A,C$1,Commissions!B:B,$A11)</f>
        <v>1213.35</v>
      </c>
      <c r="D11" s="6" t="n">
        <f aca="false">SUMIFS(Commissions!E:E,Commissions!A:A,D$1,Commissions!B:B,$A11)</f>
        <v>0</v>
      </c>
      <c r="E11" s="6" t="n">
        <f aca="false">SUMIFS(Commissions!E:E,Commissions!A:A,E$1,Commissions!B:B,$A11)</f>
        <v>0</v>
      </c>
      <c r="F11" s="6" t="n">
        <f aca="false">SUMIFS(Commissions!E:E,Commissions!A:A,F$1,Commissions!B:B,$A11)</f>
        <v>0</v>
      </c>
      <c r="G11" s="6" t="n">
        <f aca="false">SUMIFS(Commissions!E:E,Commissions!A:A,G$1,Commissions!B:B,$A11)</f>
        <v>0</v>
      </c>
      <c r="H11" s="6" t="n">
        <f aca="false">SUMIFS(Commissions!E:E,Commissions!A:A,H$1,Commissions!B:B,$A11)</f>
        <v>0</v>
      </c>
      <c r="I11" s="6" t="n">
        <f aca="false">SUMIFS(Commissions!E:E,Commissions!A:A,I$1,Commissions!B:B,$A11)</f>
        <v>0</v>
      </c>
      <c r="J11" s="6" t="n">
        <f aca="false">SUMIFS(Commissions!E:E,Commissions!A:A,J$1,Commissions!B:B,$A11)</f>
        <v>0</v>
      </c>
      <c r="K11" s="6" t="n">
        <f aca="false">SUMIFS(Commissions!E:E,Commissions!A:A,K$1,Commissions!B:B,$A11)</f>
        <v>0</v>
      </c>
      <c r="L11" s="6" t="n">
        <f aca="false">SUMIFS(Commissions!E:E,Commissions!A:A,L$1,Commissions!B:B,$A11)</f>
        <v>0</v>
      </c>
      <c r="M11" s="6" t="n">
        <f aca="false">SUMIFS(Commissions!E:E,Commissions!A:A,M$1,Commissions!B:B,$A11)</f>
        <v>0</v>
      </c>
      <c r="N11" s="6" t="n">
        <f aca="false">SUMIFS(Commissions!E:E,Commissions!A:A,N$1,Commissions!B:B,$A11)</f>
        <v>0</v>
      </c>
      <c r="O11" s="10" t="n">
        <f aca="false">SUM(B11:N11)</f>
        <v>1213.35</v>
      </c>
    </row>
    <row r="12" customFormat="false" ht="15" hidden="false" customHeight="false" outlineLevel="0" collapsed="false">
      <c r="A12" s="5" t="s">
        <v>71</v>
      </c>
      <c r="B12" s="6" t="n">
        <f aca="false">SUMIFS(Commissions!E:E,Commissions!A:A,B$1,Commissions!B:B,$A12)</f>
        <v>0</v>
      </c>
      <c r="C12" s="6" t="n">
        <f aca="false">SUMIFS(Commissions!E:E,Commissions!A:A,C$1,Commissions!B:B,$A12)</f>
        <v>0</v>
      </c>
      <c r="D12" s="6" t="n">
        <f aca="false">SUMIFS(Commissions!E:E,Commissions!A:A,D$1,Commissions!B:B,$A12)</f>
        <v>0</v>
      </c>
      <c r="E12" s="6" t="n">
        <f aca="false">SUMIFS(Commissions!E:E,Commissions!A:A,E$1,Commissions!B:B,$A12)</f>
        <v>1024.95</v>
      </c>
      <c r="F12" s="6" t="n">
        <f aca="false">SUMIFS(Commissions!E:E,Commissions!A:A,F$1,Commissions!B:B,$A12)</f>
        <v>0</v>
      </c>
      <c r="G12" s="6" t="n">
        <f aca="false">SUMIFS(Commissions!E:E,Commissions!A:A,G$1,Commissions!B:B,$A12)</f>
        <v>0</v>
      </c>
      <c r="H12" s="6" t="n">
        <f aca="false">SUMIFS(Commissions!E:E,Commissions!A:A,H$1,Commissions!B:B,$A12)</f>
        <v>0</v>
      </c>
      <c r="I12" s="6" t="n">
        <f aca="false">SUMIFS(Commissions!E:E,Commissions!A:A,I$1,Commissions!B:B,$A12)</f>
        <v>0</v>
      </c>
      <c r="J12" s="6" t="n">
        <f aca="false">SUMIFS(Commissions!E:E,Commissions!A:A,J$1,Commissions!B:B,$A12)</f>
        <v>0</v>
      </c>
      <c r="K12" s="6" t="n">
        <f aca="false">SUMIFS(Commissions!E:E,Commissions!A:A,K$1,Commissions!B:B,$A12)</f>
        <v>0</v>
      </c>
      <c r="L12" s="6" t="n">
        <f aca="false">SUMIFS(Commissions!E:E,Commissions!A:A,L$1,Commissions!B:B,$A12)</f>
        <v>0</v>
      </c>
      <c r="M12" s="6" t="n">
        <f aca="false">SUMIFS(Commissions!E:E,Commissions!A:A,M$1,Commissions!B:B,$A12)</f>
        <v>0</v>
      </c>
      <c r="N12" s="6" t="n">
        <f aca="false">SUMIFS(Commissions!E:E,Commissions!A:A,N$1,Commissions!B:B,$A12)</f>
        <v>0</v>
      </c>
      <c r="O12" s="10" t="n">
        <f aca="false">SUM(B12:N12)</f>
        <v>1024.95</v>
      </c>
    </row>
    <row r="13" customFormat="false" ht="15" hidden="false" customHeight="false" outlineLevel="0" collapsed="false">
      <c r="A13" s="5" t="s">
        <v>29</v>
      </c>
      <c r="B13" s="6" t="n">
        <f aca="false">SUMIFS(Commissions!E:E,Commissions!A:A,B$1,Commissions!B:B,$A13)</f>
        <v>0</v>
      </c>
      <c r="C13" s="6" t="n">
        <f aca="false">SUMIFS(Commissions!E:E,Commissions!A:A,C$1,Commissions!B:B,$A13)</f>
        <v>629.03</v>
      </c>
      <c r="D13" s="6" t="n">
        <f aca="false">SUMIFS(Commissions!E:E,Commissions!A:A,D$1,Commissions!B:B,$A13)</f>
        <v>3324.87</v>
      </c>
      <c r="E13" s="6" t="n">
        <f aca="false">SUMIFS(Commissions!E:E,Commissions!A:A,E$1,Commissions!B:B,$A13)</f>
        <v>1514.9</v>
      </c>
      <c r="F13" s="6" t="n">
        <f aca="false">SUMIFS(Commissions!E:E,Commissions!A:A,F$1,Commissions!B:B,$A13)</f>
        <v>0</v>
      </c>
      <c r="G13" s="6" t="n">
        <f aca="false">SUMIFS(Commissions!E:E,Commissions!A:A,G$1,Commissions!B:B,$A13)</f>
        <v>0</v>
      </c>
      <c r="H13" s="6" t="n">
        <f aca="false">SUMIFS(Commissions!E:E,Commissions!A:A,H$1,Commissions!B:B,$A13)</f>
        <v>0</v>
      </c>
      <c r="I13" s="6" t="n">
        <f aca="false">SUMIFS(Commissions!E:E,Commissions!A:A,I$1,Commissions!B:B,$A13)</f>
        <v>0</v>
      </c>
      <c r="J13" s="6" t="n">
        <f aca="false">SUMIFS(Commissions!E:E,Commissions!A:A,J$1,Commissions!B:B,$A13)</f>
        <v>0</v>
      </c>
      <c r="K13" s="6" t="n">
        <f aca="false">SUMIFS(Commissions!E:E,Commissions!A:A,K$1,Commissions!B:B,$A13)</f>
        <v>0</v>
      </c>
      <c r="L13" s="6" t="n">
        <f aca="false">SUMIFS(Commissions!E:E,Commissions!A:A,L$1,Commissions!B:B,$A13)</f>
        <v>0</v>
      </c>
      <c r="M13" s="6" t="n">
        <f aca="false">SUMIFS(Commissions!E:E,Commissions!A:A,M$1,Commissions!B:B,$A13)</f>
        <v>0</v>
      </c>
      <c r="N13" s="6" t="n">
        <f aca="false">SUMIFS(Commissions!E:E,Commissions!A:A,N$1,Commissions!B:B,$A13)</f>
        <v>0</v>
      </c>
      <c r="O13" s="10" t="n">
        <f aca="false">SUM(B13:N13)</f>
        <v>5468.8</v>
      </c>
    </row>
    <row r="14" customFormat="false" ht="15" hidden="false" customHeight="false" outlineLevel="0" collapsed="false">
      <c r="A14" s="5" t="s">
        <v>26</v>
      </c>
      <c r="B14" s="6" t="n">
        <f aca="false">SUMIFS(Commissions!E:E,Commissions!A:A,B$1,Commissions!B:B,$A14)</f>
        <v>0</v>
      </c>
      <c r="C14" s="6" t="n">
        <f aca="false">SUMIFS(Commissions!E:E,Commissions!A:A,C$1,Commissions!B:B,$A14)</f>
        <v>5611.83</v>
      </c>
      <c r="D14" s="6" t="n">
        <f aca="false">SUMIFS(Commissions!E:E,Commissions!A:A,D$1,Commissions!B:B,$A14)</f>
        <v>1528.04</v>
      </c>
      <c r="E14" s="6" t="n">
        <f aca="false">SUMIFS(Commissions!E:E,Commissions!A:A,E$1,Commissions!B:B,$A14)</f>
        <v>3889.36</v>
      </c>
      <c r="F14" s="6" t="n">
        <f aca="false">SUMIFS(Commissions!E:E,Commissions!A:A,F$1,Commissions!B:B,$A14)</f>
        <v>0</v>
      </c>
      <c r="G14" s="6" t="n">
        <f aca="false">SUMIFS(Commissions!E:E,Commissions!A:A,G$1,Commissions!B:B,$A14)</f>
        <v>0</v>
      </c>
      <c r="H14" s="6" t="n">
        <f aca="false">SUMIFS(Commissions!E:E,Commissions!A:A,H$1,Commissions!B:B,$A14)</f>
        <v>0</v>
      </c>
      <c r="I14" s="6" t="n">
        <f aca="false">SUMIFS(Commissions!E:E,Commissions!A:A,I$1,Commissions!B:B,$A14)</f>
        <v>0</v>
      </c>
      <c r="J14" s="6" t="n">
        <f aca="false">SUMIFS(Commissions!E:E,Commissions!A:A,J$1,Commissions!B:B,$A14)</f>
        <v>0</v>
      </c>
      <c r="K14" s="6" t="n">
        <f aca="false">SUMIFS(Commissions!E:E,Commissions!A:A,K$1,Commissions!B:B,$A14)</f>
        <v>0</v>
      </c>
      <c r="L14" s="6" t="n">
        <f aca="false">SUMIFS(Commissions!E:E,Commissions!A:A,L$1,Commissions!B:B,$A14)</f>
        <v>0</v>
      </c>
      <c r="M14" s="6" t="n">
        <f aca="false">SUMIFS(Commissions!E:E,Commissions!A:A,M$1,Commissions!B:B,$A14)</f>
        <v>0</v>
      </c>
      <c r="N14" s="6" t="n">
        <f aca="false">SUMIFS(Commissions!E:E,Commissions!A:A,N$1,Commissions!B:B,$A14)</f>
        <v>0</v>
      </c>
      <c r="O14" s="10" t="n">
        <f aca="false">SUM(B14:N14)</f>
        <v>11029.23</v>
      </c>
    </row>
    <row r="15" customFormat="false" ht="15" hidden="false" customHeight="false" outlineLevel="0" collapsed="false">
      <c r="A15" s="11" t="s">
        <v>211</v>
      </c>
      <c r="B15" s="12" t="n">
        <f aca="false">SUM(B2:B14)</f>
        <v>738.69</v>
      </c>
      <c r="C15" s="12" t="n">
        <f aca="false">SUM(C2:C14)</f>
        <v>14478.11</v>
      </c>
      <c r="D15" s="12" t="n">
        <f aca="false">SUM(D2:D14)</f>
        <v>7634.63</v>
      </c>
      <c r="E15" s="12" t="n">
        <f aca="false">SUM(E2:E14)</f>
        <v>12292.62</v>
      </c>
      <c r="F15" s="12" t="n">
        <f aca="false">SUM(F2:F14)</f>
        <v>238.39</v>
      </c>
      <c r="G15" s="12" t="n">
        <f aca="false">SUM(G2:G14)</f>
        <v>0</v>
      </c>
      <c r="H15" s="12" t="n">
        <f aca="false">SUM(H2:H14)</f>
        <v>0</v>
      </c>
      <c r="I15" s="12" t="n">
        <f aca="false">SUM(I2:I14)</f>
        <v>0</v>
      </c>
      <c r="J15" s="12" t="n">
        <f aca="false">SUM(J2:J14)</f>
        <v>0</v>
      </c>
      <c r="K15" s="12" t="n">
        <f aca="false">SUM(K2:K14)</f>
        <v>0</v>
      </c>
      <c r="L15" s="12" t="n">
        <f aca="false">SUM(L2:L14)</f>
        <v>0</v>
      </c>
      <c r="M15" s="12" t="n">
        <f aca="false">SUM(M2:M14)</f>
        <v>0</v>
      </c>
      <c r="N15" s="12" t="n">
        <f aca="false">SUM(N2:N14)</f>
        <v>0</v>
      </c>
      <c r="O15" s="12" t="n">
        <f aca="false">SUM(O2:O14)</f>
        <v>35382.44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212</v>
      </c>
      <c r="D1" s="1" t="s">
        <v>213</v>
      </c>
      <c r="E1" s="1" t="s">
        <v>214</v>
      </c>
      <c r="F1" s="1" t="s">
        <v>215</v>
      </c>
    </row>
    <row r="2" customFormat="false" ht="15" hidden="false" customHeight="false" outlineLevel="0" collapsed="false">
      <c r="A2" s="5" t="s">
        <v>21</v>
      </c>
      <c r="B2" s="5" t="s">
        <v>43</v>
      </c>
      <c r="C2" s="6" t="n">
        <v>965.68</v>
      </c>
      <c r="D2" s="6" t="n">
        <v>965.68</v>
      </c>
      <c r="E2" s="6" t="n">
        <f aca="false">C2-D2</f>
        <v>0</v>
      </c>
      <c r="F2" s="5" t="str">
        <f aca="false">IF(E2=0,"matched",IF(E2="","pending","variance"))</f>
        <v>matched</v>
      </c>
    </row>
    <row r="3" customFormat="false" ht="15" hidden="false" customHeight="false" outlineLevel="0" collapsed="false">
      <c r="A3" s="5" t="s">
        <v>21</v>
      </c>
      <c r="B3" s="5" t="s">
        <v>31</v>
      </c>
      <c r="C3" s="6" t="n">
        <v>1883.42</v>
      </c>
      <c r="D3" s="6" t="n">
        <v>1883.42</v>
      </c>
      <c r="E3" s="6" t="n">
        <f aca="false">C3-D3</f>
        <v>0</v>
      </c>
      <c r="F3" s="5" t="str">
        <f aca="false">IF(E3=0,"matched",IF(E3="","pending","variance"))</f>
        <v>matched</v>
      </c>
    </row>
    <row r="4" customFormat="false" ht="15" hidden="false" customHeight="false" outlineLevel="0" collapsed="false">
      <c r="A4" s="5" t="s">
        <v>21</v>
      </c>
      <c r="B4" s="5" t="s">
        <v>22</v>
      </c>
      <c r="C4" s="6" t="n">
        <v>2601.98</v>
      </c>
      <c r="D4" s="6" t="n">
        <v>2601.98</v>
      </c>
      <c r="E4" s="6" t="n">
        <f aca="false">C4-D4</f>
        <v>0</v>
      </c>
      <c r="F4" s="5" t="str">
        <f aca="false">IF(E4=0,"matched",IF(E4="","pending","variance"))</f>
        <v>matched</v>
      </c>
    </row>
    <row r="5" customFormat="false" ht="15" hidden="false" customHeight="false" outlineLevel="0" collapsed="false">
      <c r="A5" s="5" t="s">
        <v>21</v>
      </c>
      <c r="B5" s="5" t="s">
        <v>38</v>
      </c>
      <c r="C5" s="6" t="n">
        <v>-22.56</v>
      </c>
      <c r="D5" s="6" t="n">
        <v>-22.56</v>
      </c>
      <c r="E5" s="6" t="n">
        <f aca="false">C5-D5</f>
        <v>0</v>
      </c>
      <c r="F5" s="5" t="str">
        <f aca="false">IF(E5=0,"matched",IF(E5="","pending","variance"))</f>
        <v>matched</v>
      </c>
    </row>
    <row r="6" customFormat="false" ht="15" hidden="false" customHeight="false" outlineLevel="0" collapsed="false">
      <c r="A6" s="5" t="s">
        <v>21</v>
      </c>
      <c r="B6" s="5" t="s">
        <v>36</v>
      </c>
      <c r="C6" s="6" t="n">
        <v>78.48</v>
      </c>
      <c r="D6" s="6" t="n">
        <v>78.48</v>
      </c>
      <c r="E6" s="6" t="n">
        <f aca="false">C6-D6</f>
        <v>0</v>
      </c>
      <c r="F6" s="5" t="str">
        <f aca="false">IF(E6=0,"matched",IF(E6="","pending","variance"))</f>
        <v>matched</v>
      </c>
    </row>
    <row r="7" customFormat="false" ht="15" hidden="false" customHeight="false" outlineLevel="0" collapsed="false">
      <c r="A7" s="5" t="s">
        <v>21</v>
      </c>
      <c r="B7" s="5" t="s">
        <v>34</v>
      </c>
      <c r="C7" s="6" t="n">
        <v>843.15</v>
      </c>
      <c r="D7" s="6" t="n">
        <v>843.15</v>
      </c>
      <c r="E7" s="6" t="n">
        <f aca="false">C7-D7</f>
        <v>0</v>
      </c>
      <c r="F7" s="5" t="str">
        <f aca="false">IF(E7=0,"matched",IF(E7="","pending","variance"))</f>
        <v>matched</v>
      </c>
    </row>
    <row r="8" customFormat="false" ht="15" hidden="false" customHeight="false" outlineLevel="0" collapsed="false">
      <c r="A8" s="5" t="s">
        <v>21</v>
      </c>
      <c r="B8" s="5" t="s">
        <v>41</v>
      </c>
      <c r="C8" s="6" t="n">
        <v>1213.35</v>
      </c>
      <c r="D8" s="6" t="n">
        <v>1213.35</v>
      </c>
      <c r="E8" s="6" t="n">
        <f aca="false">C8-D8</f>
        <v>0</v>
      </c>
      <c r="F8" s="5" t="str">
        <f aca="false">IF(E8=0,"matched",IF(E8="","pending","variance"))</f>
        <v>matched</v>
      </c>
    </row>
    <row r="9" customFormat="false" ht="15" hidden="false" customHeight="false" outlineLevel="0" collapsed="false">
      <c r="A9" s="5" t="s">
        <v>21</v>
      </c>
      <c r="B9" s="5" t="s">
        <v>29</v>
      </c>
      <c r="C9" s="6" t="n">
        <v>629.03</v>
      </c>
      <c r="D9" s="6" t="n">
        <v>629.03</v>
      </c>
      <c r="E9" s="6" t="n">
        <f aca="false">C9-D9</f>
        <v>0</v>
      </c>
      <c r="F9" s="5" t="str">
        <f aca="false">IF(E9=0,"matched",IF(E9="","pending","variance"))</f>
        <v>matched</v>
      </c>
    </row>
    <row r="10" customFormat="false" ht="15" hidden="false" customHeight="false" outlineLevel="0" collapsed="false">
      <c r="A10" s="5" t="s">
        <v>21</v>
      </c>
      <c r="B10" s="5" t="s">
        <v>26</v>
      </c>
      <c r="C10" s="6" t="n">
        <v>5611.83</v>
      </c>
      <c r="D10" s="6" t="n">
        <v>5611.83</v>
      </c>
      <c r="E10" s="6" t="n">
        <f aca="false">C10-D10</f>
        <v>0</v>
      </c>
      <c r="F10" s="5" t="str">
        <f aca="false">IF(E10=0,"matched",IF(E10="","pending","variance"))</f>
        <v>matched</v>
      </c>
    </row>
  </sheetData>
  <autoFilter ref="A1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45"/>
  </cols>
  <sheetData>
    <row r="1" customFormat="false" ht="30" hidden="false" customHeight="true" outlineLevel="0" collapsed="false">
      <c r="A1" s="1" t="s">
        <v>216</v>
      </c>
      <c r="B1" s="1" t="s">
        <v>217</v>
      </c>
      <c r="C1" s="1" t="s">
        <v>6</v>
      </c>
      <c r="D1" s="1" t="s">
        <v>218</v>
      </c>
      <c r="E1" s="1" t="s">
        <v>219</v>
      </c>
      <c r="F1" s="1" t="s">
        <v>220</v>
      </c>
      <c r="G1" s="1" t="s">
        <v>11</v>
      </c>
    </row>
    <row r="2" customFormat="false" ht="15" hidden="false" customHeight="false" outlineLevel="0" collapsed="false">
      <c r="A2" s="2" t="s">
        <v>43</v>
      </c>
      <c r="B2" s="2" t="s">
        <v>221</v>
      </c>
      <c r="C2" s="2" t="s">
        <v>23</v>
      </c>
      <c r="D2" s="2" t="s">
        <v>24</v>
      </c>
      <c r="E2" s="2" t="s">
        <v>27</v>
      </c>
      <c r="F2" s="13" t="b">
        <f aca="false">TRUE()</f>
        <v>1</v>
      </c>
      <c r="G2" s="2"/>
    </row>
    <row r="3" customFormat="false" ht="15" hidden="false" customHeight="false" outlineLevel="0" collapsed="false">
      <c r="A3" s="2" t="s">
        <v>76</v>
      </c>
      <c r="B3" s="2" t="s">
        <v>222</v>
      </c>
      <c r="C3" s="2" t="s">
        <v>16</v>
      </c>
      <c r="D3" s="2" t="s">
        <v>57</v>
      </c>
      <c r="E3" s="2" t="s">
        <v>15</v>
      </c>
      <c r="F3" s="13" t="b">
        <f aca="false">TRUE()</f>
        <v>1</v>
      </c>
      <c r="G3" s="2" t="s">
        <v>223</v>
      </c>
    </row>
    <row r="4" customFormat="false" ht="15" hidden="false" customHeight="false" outlineLevel="0" collapsed="false">
      <c r="A4" s="2" t="s">
        <v>31</v>
      </c>
      <c r="B4" s="2" t="s">
        <v>224</v>
      </c>
      <c r="C4" s="2" t="s">
        <v>23</v>
      </c>
      <c r="D4" s="2" t="s">
        <v>24</v>
      </c>
      <c r="E4" s="2" t="s">
        <v>15</v>
      </c>
      <c r="F4" s="13" t="b">
        <f aca="false">TRUE()</f>
        <v>1</v>
      </c>
      <c r="G4" s="2" t="s">
        <v>225</v>
      </c>
    </row>
    <row r="5" customFormat="false" ht="15" hidden="false" customHeight="false" outlineLevel="0" collapsed="false">
      <c r="A5" s="2" t="s">
        <v>22</v>
      </c>
      <c r="B5" s="2" t="s">
        <v>226</v>
      </c>
      <c r="C5" s="2" t="s">
        <v>23</v>
      </c>
      <c r="D5" s="2" t="s">
        <v>17</v>
      </c>
      <c r="E5" s="2" t="s">
        <v>15</v>
      </c>
      <c r="F5" s="13" t="b">
        <f aca="false">TRUE()</f>
        <v>1</v>
      </c>
      <c r="G5" s="2" t="s">
        <v>227</v>
      </c>
    </row>
    <row r="6" customFormat="false" ht="15" hidden="false" customHeight="false" outlineLevel="0" collapsed="false">
      <c r="A6" s="2" t="s">
        <v>38</v>
      </c>
      <c r="B6" s="2" t="s">
        <v>228</v>
      </c>
      <c r="C6" s="2" t="s">
        <v>23</v>
      </c>
      <c r="D6" s="2" t="s">
        <v>24</v>
      </c>
      <c r="E6" s="2" t="s">
        <v>15</v>
      </c>
      <c r="F6" s="13" t="b">
        <f aca="false">TRUE()</f>
        <v>1</v>
      </c>
      <c r="G6" s="2" t="s">
        <v>229</v>
      </c>
    </row>
    <row r="7" customFormat="false" ht="15" hidden="false" customHeight="false" outlineLevel="0" collapsed="false">
      <c r="A7" s="2" t="s">
        <v>14</v>
      </c>
      <c r="B7" s="2" t="s">
        <v>230</v>
      </c>
      <c r="C7" s="2" t="s">
        <v>16</v>
      </c>
      <c r="D7" s="2" t="s">
        <v>17</v>
      </c>
      <c r="E7" s="2" t="s">
        <v>15</v>
      </c>
      <c r="F7" s="13" t="b">
        <f aca="false">TRUE()</f>
        <v>1</v>
      </c>
      <c r="G7" s="2" t="s">
        <v>231</v>
      </c>
    </row>
    <row r="8" customFormat="false" ht="15" hidden="false" customHeight="false" outlineLevel="0" collapsed="false">
      <c r="A8" s="2" t="s">
        <v>36</v>
      </c>
      <c r="B8" s="2" t="s">
        <v>232</v>
      </c>
      <c r="C8" s="2" t="s">
        <v>23</v>
      </c>
      <c r="D8" s="2" t="s">
        <v>57</v>
      </c>
      <c r="E8" s="2" t="s">
        <v>27</v>
      </c>
      <c r="F8" s="13" t="b">
        <f aca="false">TRUE()</f>
        <v>1</v>
      </c>
      <c r="G8" s="2" t="s">
        <v>233</v>
      </c>
    </row>
    <row r="9" customFormat="false" ht="15" hidden="false" customHeight="false" outlineLevel="0" collapsed="false">
      <c r="A9" s="2" t="s">
        <v>34</v>
      </c>
      <c r="B9" s="2" t="s">
        <v>234</v>
      </c>
      <c r="C9" s="2" t="s">
        <v>23</v>
      </c>
      <c r="D9" s="2" t="s">
        <v>57</v>
      </c>
      <c r="E9" s="2" t="s">
        <v>235</v>
      </c>
      <c r="F9" s="13" t="b">
        <f aca="false">TRUE()</f>
        <v>1</v>
      </c>
      <c r="G9" s="2" t="s">
        <v>236</v>
      </c>
    </row>
    <row r="10" customFormat="false" ht="15" hidden="false" customHeight="false" outlineLevel="0" collapsed="false">
      <c r="A10" s="2" t="s">
        <v>54</v>
      </c>
      <c r="B10" s="2" t="s">
        <v>237</v>
      </c>
      <c r="C10" s="2" t="s">
        <v>23</v>
      </c>
      <c r="D10" s="2" t="s">
        <v>24</v>
      </c>
      <c r="E10" s="2" t="s">
        <v>15</v>
      </c>
      <c r="F10" s="13" t="b">
        <f aca="false">TRUE()</f>
        <v>1</v>
      </c>
      <c r="G10" s="2"/>
    </row>
    <row r="11" customFormat="false" ht="15" hidden="false" customHeight="false" outlineLevel="0" collapsed="false">
      <c r="A11" s="2" t="s">
        <v>41</v>
      </c>
      <c r="B11" s="2" t="s">
        <v>238</v>
      </c>
      <c r="C11" s="2" t="s">
        <v>23</v>
      </c>
      <c r="D11" s="2" t="s">
        <v>24</v>
      </c>
      <c r="E11" s="2" t="s">
        <v>235</v>
      </c>
      <c r="F11" s="13" t="b">
        <f aca="false">TRUE()</f>
        <v>1</v>
      </c>
      <c r="G11" s="2" t="s">
        <v>239</v>
      </c>
    </row>
    <row r="12" customFormat="false" ht="15" hidden="false" customHeight="false" outlineLevel="0" collapsed="false">
      <c r="A12" s="2" t="s">
        <v>71</v>
      </c>
      <c r="B12" s="2" t="s">
        <v>240</v>
      </c>
      <c r="C12" s="2" t="s">
        <v>72</v>
      </c>
      <c r="D12" s="2" t="s">
        <v>57</v>
      </c>
      <c r="E12" s="2" t="s">
        <v>27</v>
      </c>
      <c r="F12" s="13" t="b">
        <f aca="false">TRUE()</f>
        <v>1</v>
      </c>
      <c r="G12" s="2" t="s">
        <v>241</v>
      </c>
    </row>
    <row r="13" customFormat="false" ht="15" hidden="false" customHeight="false" outlineLevel="0" collapsed="false">
      <c r="A13" s="2" t="s">
        <v>29</v>
      </c>
      <c r="B13" s="2" t="s">
        <v>242</v>
      </c>
      <c r="C13" s="2" t="s">
        <v>23</v>
      </c>
      <c r="D13" s="2" t="s">
        <v>57</v>
      </c>
      <c r="E13" s="2" t="s">
        <v>15</v>
      </c>
      <c r="F13" s="13" t="b">
        <f aca="false">TRUE()</f>
        <v>1</v>
      </c>
      <c r="G13" s="2" t="s">
        <v>243</v>
      </c>
    </row>
    <row r="14" customFormat="false" ht="15" hidden="false" customHeight="false" outlineLevel="0" collapsed="false">
      <c r="A14" s="2" t="s">
        <v>26</v>
      </c>
      <c r="B14" s="2" t="s">
        <v>244</v>
      </c>
      <c r="C14" s="2" t="s">
        <v>23</v>
      </c>
      <c r="D14" s="2" t="s">
        <v>57</v>
      </c>
      <c r="E14" s="2" t="s">
        <v>27</v>
      </c>
      <c r="F14" s="13" t="b">
        <f aca="false">TRUE()</f>
        <v>1</v>
      </c>
      <c r="G14" s="2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2026-04-15T21:52:52Z</dcterms:created>
  <dc:creator>openpyxl</dc:creator>
  <dc:description/>
  <dc:language>en-US</dc:language>
  <cp:lastModifiedBy/>
  <dcterms:modified xsi:type="dcterms:W3CDTF">2026-04-15T21:52:52Z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